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suprod-my.sharepoint.com/personal/sbasnet24_student_ysu_edu/Documents/Desktop/Remote Sensing and GIS Processing/Lakes/Different Lake Data/1. Tappan Lake/GEE Extracted MultiBands/"/>
    </mc:Choice>
  </mc:AlternateContent>
  <xr:revisionPtr revIDLastSave="107" documentId="8_{6752D977-03EB-4B10-8B1C-577D90BC6914}" xr6:coauthVersionLast="47" xr6:coauthVersionMax="47" xr10:uidLastSave="{5053FB55-D09A-461D-BFB5-23C6009C3D02}"/>
  <bookViews>
    <workbookView xWindow="-120" yWindow="-120" windowWidth="29040" windowHeight="15720" xr2:uid="{E4798739-06C5-4F61-A15E-B1EF19779613}"/>
  </bookViews>
  <sheets>
    <sheet name="Tappan_L89_Bands_Thermal_NDCI_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2" i="1"/>
</calcChain>
</file>

<file path=xl/sharedStrings.xml><?xml version="1.0" encoding="utf-8"?>
<sst xmlns="http://schemas.openxmlformats.org/spreadsheetml/2006/main" count="479" uniqueCount="39">
  <si>
    <t>location</t>
  </si>
  <si>
    <t>Field_Date</t>
  </si>
  <si>
    <t>Satellite_Date</t>
  </si>
  <si>
    <t>Satellite</t>
  </si>
  <si>
    <t>Sensor</t>
  </si>
  <si>
    <t>Scene_Cloud_Pct</t>
  </si>
  <si>
    <t>Buffer_m</t>
  </si>
  <si>
    <t>Water_Mask</t>
  </si>
  <si>
    <t>valid_pixels</t>
  </si>
  <si>
    <t>mean_SR_B2</t>
  </si>
  <si>
    <t>mean_SR_B3</t>
  </si>
  <si>
    <t>mean_SR_B4</t>
  </si>
  <si>
    <t>mean_SR_B5</t>
  </si>
  <si>
    <t>mean_SR_B6</t>
  </si>
  <si>
    <t>mean_SR_B7</t>
  </si>
  <si>
    <t>med_SR_B2</t>
  </si>
  <si>
    <t>med_SR_B3</t>
  </si>
  <si>
    <t>med_SR_B4</t>
  </si>
  <si>
    <t>med_SR_B5</t>
  </si>
  <si>
    <t>med_SR_B6</t>
  </si>
  <si>
    <t>med_SR_B7</t>
  </si>
  <si>
    <t>sd_SR_B2</t>
  </si>
  <si>
    <t>sd_SR_B3</t>
  </si>
  <si>
    <t>sd_SR_B4</t>
  </si>
  <si>
    <t>sd_SR_B5</t>
  </si>
  <si>
    <t>sd_SR_B6</t>
  </si>
  <si>
    <t>sd_SR_B7</t>
  </si>
  <si>
    <t>mean_ST_B10_K</t>
  </si>
  <si>
    <t>med_ST_B10_K</t>
  </si>
  <si>
    <t>mean_NDCI_L8</t>
  </si>
  <si>
    <t>mean_MNDWI</t>
  </si>
  <si>
    <t>med_NDCI_L8</t>
  </si>
  <si>
    <t>med_MNDWI</t>
  </si>
  <si>
    <t>LANDSAT_8</t>
  </si>
  <si>
    <t>Landsat_8_9</t>
  </si>
  <si>
    <t>QA_PIXEL_AND_MNDWI_gt_0</t>
  </si>
  <si>
    <t>LANDSAT_9</t>
  </si>
  <si>
    <t>Days Gaps</t>
  </si>
  <si>
    <t>Target Variable(Chlorophyll-a)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</si>
</sst>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righ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AA4C-4960-45EE-B1D4-C56D9DCACB0E}">
  <dimension ref="A1:AI149"/>
  <sheetViews>
    <sheetView tabSelected="1" topLeftCell="Q1" workbookViewId="0">
      <selection activeCell="AJ20" sqref="AJ20"/>
    </sheetView>
  </sheetViews>
  <sheetFormatPr defaultRowHeight="15" x14ac:dyDescent="0.25"/>
  <cols>
    <col min="1" max="1" width="10.85546875" customWidth="1"/>
    <col min="2" max="2" width="15.140625" customWidth="1"/>
    <col min="3" max="3" width="17.7109375" customWidth="1"/>
    <col min="4" max="4" width="15" customWidth="1"/>
    <col min="5" max="5" width="13" customWidth="1"/>
    <col min="6" max="6" width="13.140625" customWidth="1"/>
    <col min="7" max="7" width="16.7109375" customWidth="1"/>
    <col min="8" max="8" width="9.85546875" customWidth="1"/>
    <col min="9" max="9" width="27.85546875" customWidth="1"/>
    <col min="10" max="10" width="12.7109375" customWidth="1"/>
    <col min="11" max="11" width="29.5703125" customWidth="1"/>
    <col min="12" max="12" width="14.85546875" customWidth="1"/>
    <col min="13" max="13" width="16.7109375" customWidth="1"/>
    <col min="14" max="14" width="15.7109375" customWidth="1"/>
    <col min="15" max="15" width="14.42578125" customWidth="1"/>
    <col min="16" max="16" width="14.7109375" customWidth="1"/>
    <col min="17" max="17" width="14.28515625" customWidth="1"/>
    <col min="18" max="18" width="13.42578125" customWidth="1"/>
    <col min="19" max="19" width="12.5703125" customWidth="1"/>
    <col min="20" max="20" width="13.5703125" customWidth="1"/>
    <col min="21" max="21" width="14.140625" customWidth="1"/>
    <col min="22" max="22" width="12.5703125" customWidth="1"/>
    <col min="23" max="23" width="12.42578125" customWidth="1"/>
    <col min="24" max="24" width="12.28515625" customWidth="1"/>
    <col min="25" max="26" width="12.5703125" customWidth="1"/>
    <col min="27" max="27" width="13.140625" customWidth="1"/>
    <col min="28" max="28" width="12.85546875" customWidth="1"/>
    <col min="29" max="29" width="14" customWidth="1"/>
    <col min="30" max="30" width="17.42578125" customWidth="1"/>
    <col min="31" max="31" width="14.7109375" customWidth="1"/>
    <col min="32" max="32" width="16.28515625" customWidth="1"/>
    <col min="33" max="33" width="15" customWidth="1"/>
    <col min="34" max="34" width="14.85546875" style="7" customWidth="1"/>
    <col min="35" max="35" width="14.42578125" style="7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31</v>
      </c>
      <c r="AH1" s="7" t="s">
        <v>30</v>
      </c>
      <c r="AI1" s="7" t="s">
        <v>32</v>
      </c>
    </row>
    <row r="2" spans="1:35" x14ac:dyDescent="0.25">
      <c r="A2">
        <v>1</v>
      </c>
      <c r="B2" s="1">
        <v>45770</v>
      </c>
      <c r="C2" s="1">
        <v>45774</v>
      </c>
      <c r="D2" s="3">
        <f>B2-C2</f>
        <v>-4</v>
      </c>
      <c r="E2" t="s">
        <v>33</v>
      </c>
      <c r="F2" t="s">
        <v>34</v>
      </c>
      <c r="G2">
        <v>0.12</v>
      </c>
      <c r="H2">
        <v>30</v>
      </c>
      <c r="I2" t="s">
        <v>35</v>
      </c>
      <c r="J2">
        <v>3</v>
      </c>
      <c r="K2">
        <v>2.5859330000000003</v>
      </c>
      <c r="L2">
        <v>1.9483789707750901E-2</v>
      </c>
      <c r="M2">
        <v>5.0509485387547598E-2</v>
      </c>
      <c r="N2">
        <v>3.1734288437102902E-2</v>
      </c>
      <c r="O2">
        <v>1.6262480940279499E-2</v>
      </c>
      <c r="P2">
        <v>1.15758799237611E-2</v>
      </c>
      <c r="Q2">
        <v>8.7353430749682204E-3</v>
      </c>
      <c r="R2">
        <v>1.9147499999999901E-2</v>
      </c>
      <c r="S2">
        <v>5.0497499999999897E-2</v>
      </c>
      <c r="T2">
        <v>3.1494999999999898E-2</v>
      </c>
      <c r="U2">
        <v>1.62599999999999E-2</v>
      </c>
      <c r="V2">
        <v>1.14749999999999E-2</v>
      </c>
      <c r="W2">
        <v>8.69749999999999E-3</v>
      </c>
      <c r="X2">
        <v>1.0094993258486201E-3</v>
      </c>
      <c r="Y2" s="2">
        <v>8.8295510770481202E-4</v>
      </c>
      <c r="Z2" s="2">
        <v>7.5712449438645199E-4</v>
      </c>
      <c r="AA2" s="2">
        <v>7.7010911925230502E-4</v>
      </c>
      <c r="AB2" s="2">
        <v>3.2253122157220799E-4</v>
      </c>
      <c r="AC2" s="2">
        <v>3.1833551482672698E-4</v>
      </c>
      <c r="AD2">
        <v>289.347180240787</v>
      </c>
      <c r="AE2">
        <v>289.33022912000001</v>
      </c>
      <c r="AF2">
        <v>-0.32285842604301201</v>
      </c>
      <c r="AG2">
        <v>-0.32716081311746698</v>
      </c>
      <c r="AH2" s="7">
        <v>0.62730223434024301</v>
      </c>
      <c r="AI2" s="7">
        <v>0.62967445237807096</v>
      </c>
    </row>
    <row r="3" spans="1:35" x14ac:dyDescent="0.25">
      <c r="A3">
        <v>2</v>
      </c>
      <c r="B3" s="1">
        <v>45770</v>
      </c>
      <c r="C3" s="1">
        <v>45774</v>
      </c>
      <c r="D3" s="3">
        <f t="shared" ref="D3:D66" si="0">B3-C3</f>
        <v>-4</v>
      </c>
      <c r="E3" t="s">
        <v>33</v>
      </c>
      <c r="F3" t="s">
        <v>34</v>
      </c>
      <c r="G3">
        <v>0.12</v>
      </c>
      <c r="H3">
        <v>30</v>
      </c>
      <c r="I3" t="s">
        <v>35</v>
      </c>
      <c r="J3">
        <v>2</v>
      </c>
      <c r="K3">
        <v>2.4649209999999999</v>
      </c>
      <c r="L3">
        <v>1.5778118622448899E-2</v>
      </c>
      <c r="M3">
        <v>4.9526546556122403E-2</v>
      </c>
      <c r="N3">
        <v>3.00139285714285E-2</v>
      </c>
      <c r="O3">
        <v>1.3213287627551E-2</v>
      </c>
      <c r="P3">
        <v>9.5758514030612196E-3</v>
      </c>
      <c r="Q3">
        <v>6.9078603316326398E-3</v>
      </c>
      <c r="R3">
        <v>1.57924999999999E-2</v>
      </c>
      <c r="S3">
        <v>4.9727500000000001E-2</v>
      </c>
      <c r="T3">
        <v>2.9927499999999899E-2</v>
      </c>
      <c r="U3">
        <v>1.31524999999999E-2</v>
      </c>
      <c r="V3">
        <v>9.495E-3</v>
      </c>
      <c r="W3">
        <v>6.8824999999999798E-3</v>
      </c>
      <c r="X3" s="2">
        <v>7.56249999999999E-4</v>
      </c>
      <c r="Y3" s="2">
        <v>4.2624999999988999E-4</v>
      </c>
      <c r="Z3" s="2">
        <v>1.3750000000008401E-4</v>
      </c>
      <c r="AA3" s="2">
        <v>1.2375000000004499E-4</v>
      </c>
      <c r="AB3" s="2">
        <v>1.92500000000014E-4</v>
      </c>
      <c r="AC3" s="2">
        <v>1.9249999999999601E-4</v>
      </c>
      <c r="AD3">
        <v>289.77322892642798</v>
      </c>
      <c r="AE3">
        <v>289.75235458999998</v>
      </c>
      <c r="AF3">
        <v>-0.388715540587107</v>
      </c>
      <c r="AG3">
        <v>-0.38546898726784301</v>
      </c>
      <c r="AH3" s="7">
        <v>0.67611397563130504</v>
      </c>
      <c r="AI3" s="7">
        <v>0.67515386560998203</v>
      </c>
    </row>
    <row r="4" spans="1:35" x14ac:dyDescent="0.25">
      <c r="A4">
        <v>3</v>
      </c>
      <c r="B4" s="1">
        <v>45770</v>
      </c>
      <c r="C4" s="1">
        <v>45774</v>
      </c>
      <c r="D4" s="3">
        <f t="shared" si="0"/>
        <v>-4</v>
      </c>
      <c r="E4" t="s">
        <v>33</v>
      </c>
      <c r="F4" t="s">
        <v>34</v>
      </c>
      <c r="G4">
        <v>0.12</v>
      </c>
      <c r="H4">
        <v>30</v>
      </c>
      <c r="I4" t="s">
        <v>35</v>
      </c>
      <c r="J4">
        <v>3</v>
      </c>
      <c r="K4">
        <v>2.8582099999999997</v>
      </c>
      <c r="L4">
        <v>2.1926833333333302E-2</v>
      </c>
      <c r="M4">
        <v>5.25420125786163E-2</v>
      </c>
      <c r="N4">
        <v>3.3856125786163503E-2</v>
      </c>
      <c r="O4">
        <v>1.6908723270440199E-2</v>
      </c>
      <c r="P4">
        <v>1.31475188679245E-2</v>
      </c>
      <c r="Q4">
        <v>1.0384270440251499E-2</v>
      </c>
      <c r="R4">
        <v>2.18424999999999E-2</v>
      </c>
      <c r="S4">
        <v>5.2147499999999999E-2</v>
      </c>
      <c r="T4">
        <v>3.3584999999999997E-2</v>
      </c>
      <c r="U4">
        <v>1.6314999999999899E-2</v>
      </c>
      <c r="V4">
        <v>1.274E-2</v>
      </c>
      <c r="W4">
        <v>1.0237499999999899E-2</v>
      </c>
      <c r="X4">
        <v>1.11238170407263E-3</v>
      </c>
      <c r="Y4">
        <v>1.0329495254960601E-3</v>
      </c>
      <c r="Z4">
        <v>1.22579962564117E-3</v>
      </c>
      <c r="AA4">
        <v>1.1169048253494599E-3</v>
      </c>
      <c r="AB4">
        <v>1.04652666261092E-3</v>
      </c>
      <c r="AC4" s="2">
        <v>7.79220586369621E-4</v>
      </c>
      <c r="AD4">
        <v>289.96798865803697</v>
      </c>
      <c r="AE4">
        <v>289.97281687999998</v>
      </c>
      <c r="AF4">
        <v>-0.33469457509894601</v>
      </c>
      <c r="AG4">
        <v>-0.34609218436873701</v>
      </c>
      <c r="AH4" s="7">
        <v>0.60022570312397205</v>
      </c>
      <c r="AI4" s="7">
        <v>0.60732036216528595</v>
      </c>
    </row>
    <row r="5" spans="1:35" x14ac:dyDescent="0.25">
      <c r="A5">
        <v>4</v>
      </c>
      <c r="B5" s="1">
        <v>45770</v>
      </c>
      <c r="C5" s="1">
        <v>45774</v>
      </c>
      <c r="D5" s="3">
        <f t="shared" si="0"/>
        <v>-4</v>
      </c>
      <c r="E5" t="s">
        <v>33</v>
      </c>
      <c r="F5" t="s">
        <v>34</v>
      </c>
      <c r="G5">
        <v>0.12</v>
      </c>
      <c r="H5">
        <v>30</v>
      </c>
      <c r="I5" t="s">
        <v>35</v>
      </c>
      <c r="J5">
        <v>3</v>
      </c>
      <c r="K5">
        <v>2.646439</v>
      </c>
      <c r="L5">
        <v>2.3472911432160799E-2</v>
      </c>
      <c r="M5">
        <v>5.0943269472361802E-2</v>
      </c>
      <c r="N5">
        <v>3.2088081030150699E-2</v>
      </c>
      <c r="O5">
        <v>1.4609447236180901E-2</v>
      </c>
      <c r="P5">
        <v>9.5353172110552702E-3</v>
      </c>
      <c r="Q5">
        <v>7.2958636934673301E-3</v>
      </c>
      <c r="R5">
        <v>2.3093749999999899E-2</v>
      </c>
      <c r="S5">
        <v>5.0593749999999903E-2</v>
      </c>
      <c r="T5">
        <v>3.1604999999999897E-2</v>
      </c>
      <c r="U5">
        <v>1.41975E-2</v>
      </c>
      <c r="V5">
        <v>9.3024999999999896E-3</v>
      </c>
      <c r="W5">
        <v>7.0199999999999898E-3</v>
      </c>
      <c r="X5" s="2">
        <v>9.8719510060911106E-4</v>
      </c>
      <c r="Y5" s="2">
        <v>7.7141734633202202E-4</v>
      </c>
      <c r="Z5" s="2">
        <v>9.0967332353732199E-4</v>
      </c>
      <c r="AA5" s="2">
        <v>7.5323008141971897E-4</v>
      </c>
      <c r="AB5" s="2">
        <v>7.7911274323211397E-4</v>
      </c>
      <c r="AC5" s="2">
        <v>5.0922462845213903E-4</v>
      </c>
      <c r="AD5">
        <v>289.85774210866799</v>
      </c>
      <c r="AE5">
        <v>289.85660419999999</v>
      </c>
      <c r="AF5">
        <v>-0.37501455735113198</v>
      </c>
      <c r="AG5">
        <v>-0.37631102081159701</v>
      </c>
      <c r="AH5" s="7">
        <v>0.68528442299790404</v>
      </c>
      <c r="AI5" s="7">
        <v>0.68930822861437002</v>
      </c>
    </row>
    <row r="6" spans="1:35" x14ac:dyDescent="0.25">
      <c r="A6">
        <v>5</v>
      </c>
      <c r="B6" s="1">
        <v>45770</v>
      </c>
      <c r="C6" s="1">
        <v>45774</v>
      </c>
      <c r="D6" s="3">
        <f t="shared" si="0"/>
        <v>-4</v>
      </c>
      <c r="E6" t="s">
        <v>33</v>
      </c>
      <c r="F6" t="s">
        <v>34</v>
      </c>
      <c r="G6">
        <v>0.12</v>
      </c>
      <c r="H6">
        <v>30</v>
      </c>
      <c r="I6" t="s">
        <v>35</v>
      </c>
      <c r="J6">
        <v>3</v>
      </c>
      <c r="K6">
        <v>2.2531500000000002</v>
      </c>
      <c r="L6">
        <v>1.9396636075949301E-2</v>
      </c>
      <c r="M6">
        <v>5.5690056962025301E-2</v>
      </c>
      <c r="N6">
        <v>3.1756319620253097E-2</v>
      </c>
      <c r="O6">
        <v>1.29882658227847E-2</v>
      </c>
      <c r="P6">
        <v>9.8397246835443004E-3</v>
      </c>
      <c r="Q6">
        <v>7.7087183544303703E-3</v>
      </c>
      <c r="R6">
        <v>1.93125E-2</v>
      </c>
      <c r="S6">
        <v>5.58325E-2</v>
      </c>
      <c r="T6">
        <v>3.1907499999999998E-2</v>
      </c>
      <c r="U6">
        <v>1.30424999999999E-2</v>
      </c>
      <c r="V6">
        <v>9.7699999999999992E-3</v>
      </c>
      <c r="W6">
        <v>7.8724999999999993E-3</v>
      </c>
      <c r="X6" s="2">
        <v>9.7365362880692601E-4</v>
      </c>
      <c r="Y6" s="2">
        <v>8.2204098978600696E-4</v>
      </c>
      <c r="Z6">
        <v>1.1393985986768E-3</v>
      </c>
      <c r="AA6" s="2">
        <v>8.5510801786806102E-4</v>
      </c>
      <c r="AB6" s="2">
        <v>4.7965409990487499E-4</v>
      </c>
      <c r="AC6" s="2">
        <v>4.1584752814782398E-4</v>
      </c>
      <c r="AD6">
        <v>290.46409451918902</v>
      </c>
      <c r="AE6">
        <v>290.45817571999999</v>
      </c>
      <c r="AF6">
        <v>-0.420180058055033</v>
      </c>
      <c r="AG6">
        <v>-0.419688542825362</v>
      </c>
      <c r="AH6" s="7">
        <v>0.69988163431843198</v>
      </c>
      <c r="AI6" s="7">
        <v>0.70214549750390598</v>
      </c>
    </row>
    <row r="7" spans="1:35" x14ac:dyDescent="0.25">
      <c r="A7">
        <v>6</v>
      </c>
      <c r="B7" s="1">
        <v>45770</v>
      </c>
      <c r="C7" s="1">
        <v>45774</v>
      </c>
      <c r="D7" s="3">
        <f t="shared" si="0"/>
        <v>-4</v>
      </c>
      <c r="E7" t="s">
        <v>33</v>
      </c>
      <c r="F7" t="s">
        <v>34</v>
      </c>
      <c r="G7">
        <v>0.12</v>
      </c>
      <c r="H7">
        <v>30</v>
      </c>
      <c r="I7" t="s">
        <v>35</v>
      </c>
      <c r="J7">
        <v>3</v>
      </c>
      <c r="K7">
        <v>2.8279570000000001</v>
      </c>
      <c r="L7">
        <v>1.9427881194409101E-2</v>
      </c>
      <c r="M7">
        <v>4.9164675984752201E-2</v>
      </c>
      <c r="N7">
        <v>3.0586172172808099E-2</v>
      </c>
      <c r="O7">
        <v>1.45334053367217E-2</v>
      </c>
      <c r="P7">
        <v>1.05852858958068E-2</v>
      </c>
      <c r="Q7">
        <v>7.9528684879288398E-3</v>
      </c>
      <c r="R7">
        <v>1.9834999999999901E-2</v>
      </c>
      <c r="S7">
        <v>4.9589999999999898E-2</v>
      </c>
      <c r="T7">
        <v>3.05324999999999E-2</v>
      </c>
      <c r="U7">
        <v>1.4637499999999901E-2</v>
      </c>
      <c r="V7">
        <v>1.04025E-2</v>
      </c>
      <c r="W7">
        <v>7.7899999999999896E-3</v>
      </c>
      <c r="X7" s="2">
        <v>7.4436494185756499E-4</v>
      </c>
      <c r="Y7" s="2">
        <v>7.5445620593016097E-4</v>
      </c>
      <c r="Z7" s="2">
        <v>4.1725957814714801E-4</v>
      </c>
      <c r="AA7" s="2">
        <v>7.1617424943624204E-4</v>
      </c>
      <c r="AB7" s="2">
        <v>4.6089285329914002E-4</v>
      </c>
      <c r="AC7" s="2">
        <v>3.1461837553173398E-4</v>
      </c>
      <c r="AD7">
        <v>289.93949227077502</v>
      </c>
      <c r="AE7">
        <v>289.93180064000001</v>
      </c>
      <c r="AF7">
        <v>-0.35693727838149802</v>
      </c>
      <c r="AG7">
        <v>-0.351892849236218</v>
      </c>
      <c r="AH7" s="7">
        <v>0.64623236798930705</v>
      </c>
      <c r="AI7" s="7">
        <v>0.65320665083135299</v>
      </c>
    </row>
    <row r="8" spans="1:35" x14ac:dyDescent="0.25">
      <c r="A8">
        <v>7</v>
      </c>
      <c r="B8" s="1">
        <v>45770</v>
      </c>
      <c r="C8" s="1">
        <v>45774</v>
      </c>
      <c r="D8" s="3">
        <f t="shared" si="0"/>
        <v>-4</v>
      </c>
      <c r="E8" t="s">
        <v>33</v>
      </c>
      <c r="F8" t="s">
        <v>34</v>
      </c>
      <c r="G8">
        <v>0.12</v>
      </c>
      <c r="H8">
        <v>30</v>
      </c>
      <c r="I8" t="s">
        <v>35</v>
      </c>
      <c r="J8">
        <v>3</v>
      </c>
      <c r="K8">
        <v>4.7641490000000006</v>
      </c>
      <c r="L8">
        <v>2.54702805800756E-2</v>
      </c>
      <c r="M8">
        <v>5.3903720050441299E-2</v>
      </c>
      <c r="N8">
        <v>3.7395466582597701E-2</v>
      </c>
      <c r="O8">
        <v>2.0808354350567399E-2</v>
      </c>
      <c r="P8">
        <v>1.4624842370744E-2</v>
      </c>
      <c r="Q8">
        <v>1.14858543505674E-2</v>
      </c>
      <c r="R8">
        <v>2.6242499999999998E-2</v>
      </c>
      <c r="S8">
        <v>5.4704999999999997E-2</v>
      </c>
      <c r="T8">
        <v>3.7984999999999901E-2</v>
      </c>
      <c r="U8">
        <v>2.1319999999999999E-2</v>
      </c>
      <c r="V8">
        <v>1.5214999999999999E-2</v>
      </c>
      <c r="W8">
        <v>1.1584999999999899E-2</v>
      </c>
      <c r="X8">
        <v>1.2733420593069101E-3</v>
      </c>
      <c r="Y8" s="2">
        <v>9.0856419084699603E-4</v>
      </c>
      <c r="Z8" s="2">
        <v>9.9415025133138199E-4</v>
      </c>
      <c r="AA8">
        <v>1.22085409538654E-3</v>
      </c>
      <c r="AB8">
        <v>1.1493844971210399E-3</v>
      </c>
      <c r="AC8" s="2">
        <v>8.6991618370201799E-4</v>
      </c>
      <c r="AD8">
        <v>289.67330695091999</v>
      </c>
      <c r="AE8">
        <v>289.67886715999998</v>
      </c>
      <c r="AF8">
        <v>-0.285556941874826</v>
      </c>
      <c r="AG8">
        <v>-0.286980987296444</v>
      </c>
      <c r="AH8" s="7">
        <v>0.57382578055740596</v>
      </c>
      <c r="AI8" s="7">
        <v>0.56478832951945002</v>
      </c>
    </row>
    <row r="9" spans="1:35" x14ac:dyDescent="0.25">
      <c r="A9">
        <v>8</v>
      </c>
      <c r="B9" s="1">
        <v>45770</v>
      </c>
      <c r="C9" s="1">
        <v>45774</v>
      </c>
      <c r="D9" s="3">
        <f t="shared" si="0"/>
        <v>-4</v>
      </c>
      <c r="E9" t="s">
        <v>33</v>
      </c>
      <c r="F9" t="s">
        <v>34</v>
      </c>
      <c r="G9">
        <v>0.12</v>
      </c>
      <c r="H9">
        <v>30</v>
      </c>
      <c r="I9" t="s">
        <v>35</v>
      </c>
      <c r="J9">
        <v>3</v>
      </c>
      <c r="K9">
        <v>3.3422580000000002</v>
      </c>
      <c r="L9">
        <v>2.5723402777777699E-2</v>
      </c>
      <c r="M9">
        <v>4.8786666666666603E-2</v>
      </c>
      <c r="N9">
        <v>3.3557118055555502E-2</v>
      </c>
      <c r="O9">
        <v>1.7268055555555498E-2</v>
      </c>
      <c r="P9">
        <v>9.7764236111111107E-3</v>
      </c>
      <c r="Q9">
        <v>6.5030208333333303E-3</v>
      </c>
      <c r="R9">
        <v>2.462E-2</v>
      </c>
      <c r="S9">
        <v>4.7362500000000002E-2</v>
      </c>
      <c r="T9">
        <v>3.2319999999999897E-2</v>
      </c>
      <c r="U9">
        <v>1.6012499999999898E-2</v>
      </c>
      <c r="V9">
        <v>8.8900000000000003E-3</v>
      </c>
      <c r="W9">
        <v>5.5624999999999902E-3</v>
      </c>
      <c r="X9">
        <v>2.4331241348430101E-3</v>
      </c>
      <c r="Y9">
        <v>3.0217482522539299E-3</v>
      </c>
      <c r="Z9">
        <v>3.05097183970396E-3</v>
      </c>
      <c r="AA9">
        <v>3.0899145978849E-3</v>
      </c>
      <c r="AB9">
        <v>2.7082497422997402E-3</v>
      </c>
      <c r="AC9">
        <v>2.473879375933E-3</v>
      </c>
      <c r="AD9">
        <v>289.59919535795399</v>
      </c>
      <c r="AE9">
        <v>289.6002527</v>
      </c>
      <c r="AF9">
        <v>-0.32512659734838401</v>
      </c>
      <c r="AG9">
        <v>-0.337402369006362</v>
      </c>
      <c r="AH9" s="7">
        <v>0.671848851454103</v>
      </c>
      <c r="AI9" s="7">
        <v>0.68392515888182703</v>
      </c>
    </row>
    <row r="10" spans="1:35" x14ac:dyDescent="0.25">
      <c r="A10">
        <v>9</v>
      </c>
      <c r="B10" s="1">
        <v>45770</v>
      </c>
      <c r="C10" s="1">
        <v>45774</v>
      </c>
      <c r="D10" s="3">
        <f t="shared" si="0"/>
        <v>-4</v>
      </c>
      <c r="E10" t="s">
        <v>33</v>
      </c>
      <c r="F10" t="s">
        <v>34</v>
      </c>
      <c r="G10">
        <v>0.12</v>
      </c>
      <c r="H10">
        <v>30</v>
      </c>
      <c r="I10" t="s">
        <v>35</v>
      </c>
      <c r="J10">
        <v>2</v>
      </c>
      <c r="K10">
        <v>5.5507270000000002</v>
      </c>
      <c r="L10">
        <v>1.3823318527918699E-2</v>
      </c>
      <c r="M10">
        <v>4.23514974619289E-2</v>
      </c>
      <c r="N10">
        <v>2.6680720177664902E-2</v>
      </c>
      <c r="O10">
        <v>1.1451094543147199E-2</v>
      </c>
      <c r="P10">
        <v>8.7469860406091306E-3</v>
      </c>
      <c r="Q10">
        <v>6.9378140862944096E-3</v>
      </c>
      <c r="R10">
        <v>1.4087499999999999E-2</v>
      </c>
      <c r="S10">
        <v>4.26324999999999E-2</v>
      </c>
      <c r="T10">
        <v>2.7150000000000001E-2</v>
      </c>
      <c r="U10">
        <v>1.2162499999999901E-2</v>
      </c>
      <c r="V10">
        <v>8.9174999999999897E-3</v>
      </c>
      <c r="W10">
        <v>7.04749999999998E-3</v>
      </c>
      <c r="X10" s="2">
        <v>2.4749999999998103E-4</v>
      </c>
      <c r="Y10" s="2">
        <v>1.51250000000049E-4</v>
      </c>
      <c r="Z10" s="2">
        <v>4.6750000000001798E-4</v>
      </c>
      <c r="AA10" s="2">
        <v>6.7374999999999402E-4</v>
      </c>
      <c r="AB10" s="2">
        <v>1.78749999999979E-4</v>
      </c>
      <c r="AC10" s="2">
        <v>9.6250000000007002E-5</v>
      </c>
      <c r="AD10">
        <v>289.932286449949</v>
      </c>
      <c r="AE10">
        <v>289.96598083999999</v>
      </c>
      <c r="AF10">
        <v>-0.401688467926338</v>
      </c>
      <c r="AG10">
        <v>-0.381240063593005</v>
      </c>
      <c r="AH10" s="7">
        <v>0.658151886396522</v>
      </c>
      <c r="AI10" s="7">
        <v>0.65570507960576196</v>
      </c>
    </row>
    <row r="11" spans="1:35" x14ac:dyDescent="0.25">
      <c r="A11">
        <v>10</v>
      </c>
      <c r="B11" s="1">
        <v>45770</v>
      </c>
      <c r="C11" s="1">
        <v>45774</v>
      </c>
      <c r="D11" s="3">
        <f t="shared" si="0"/>
        <v>-4</v>
      </c>
      <c r="E11" t="s">
        <v>33</v>
      </c>
      <c r="F11" t="s">
        <v>34</v>
      </c>
      <c r="G11">
        <v>0.12</v>
      </c>
      <c r="H11">
        <v>30</v>
      </c>
      <c r="I11" t="s">
        <v>35</v>
      </c>
      <c r="J11">
        <v>3</v>
      </c>
      <c r="K11">
        <v>7.2448949999999996</v>
      </c>
      <c r="L11">
        <v>1.94075835475578E-2</v>
      </c>
      <c r="M11">
        <v>4.4235064267352103E-2</v>
      </c>
      <c r="N11">
        <v>3.0424550128534698E-2</v>
      </c>
      <c r="O11">
        <v>1.6061208226221001E-2</v>
      </c>
      <c r="P11">
        <v>9.7119601542416407E-3</v>
      </c>
      <c r="Q11">
        <v>6.6639138817480596E-3</v>
      </c>
      <c r="R11">
        <v>1.9917500000000001E-2</v>
      </c>
      <c r="S11">
        <v>4.4337500000000002E-2</v>
      </c>
      <c r="T11">
        <v>3.0257499999999899E-2</v>
      </c>
      <c r="U11">
        <v>1.65349999999999E-2</v>
      </c>
      <c r="V11">
        <v>9.9349999999999994E-3</v>
      </c>
      <c r="W11">
        <v>6.8274999999999803E-3</v>
      </c>
      <c r="X11">
        <v>1.1463099008945301E-3</v>
      </c>
      <c r="Y11" s="2">
        <v>1.95746434620162E-4</v>
      </c>
      <c r="Z11" s="2">
        <v>3.82591673836303E-4</v>
      </c>
      <c r="AA11" s="2">
        <v>1.61915615882718E-4</v>
      </c>
      <c r="AB11" s="2">
        <v>5.7786364212407903E-4</v>
      </c>
      <c r="AC11" s="2">
        <v>4.0437365833540401E-4</v>
      </c>
      <c r="AD11">
        <v>290.709786804087</v>
      </c>
      <c r="AE11">
        <v>290.69743712000002</v>
      </c>
      <c r="AF11">
        <v>-0.30937126506770102</v>
      </c>
      <c r="AG11">
        <v>-0.30410243010190702</v>
      </c>
      <c r="AH11" s="7">
        <v>0.64072385803238596</v>
      </c>
      <c r="AI11" s="7">
        <v>0.63388456400571103</v>
      </c>
    </row>
    <row r="12" spans="1:35" x14ac:dyDescent="0.25">
      <c r="A12">
        <v>11</v>
      </c>
      <c r="B12" s="1">
        <v>45770</v>
      </c>
      <c r="C12" s="1">
        <v>45774</v>
      </c>
      <c r="D12" s="3">
        <f t="shared" si="0"/>
        <v>-4</v>
      </c>
      <c r="E12" t="s">
        <v>33</v>
      </c>
      <c r="F12" t="s">
        <v>34</v>
      </c>
      <c r="G12">
        <v>0.12</v>
      </c>
      <c r="H12">
        <v>30</v>
      </c>
      <c r="I12" t="s">
        <v>35</v>
      </c>
      <c r="J12">
        <v>2</v>
      </c>
      <c r="K12">
        <v>11.782845000000002</v>
      </c>
      <c r="L12">
        <v>3.4193472576530597E-2</v>
      </c>
      <c r="M12">
        <v>5.8937404336734597E-2</v>
      </c>
      <c r="N12">
        <v>4.8203529974489699E-2</v>
      </c>
      <c r="O12">
        <v>3.42105197704081E-2</v>
      </c>
      <c r="P12">
        <v>2.6082691326530599E-2</v>
      </c>
      <c r="Q12">
        <v>2.0675117984693799E-2</v>
      </c>
      <c r="R12">
        <v>3.35574999999999E-2</v>
      </c>
      <c r="S12">
        <v>5.8197499999999999E-2</v>
      </c>
      <c r="T12">
        <v>4.75825E-2</v>
      </c>
      <c r="U12">
        <v>3.3392499999999901E-2</v>
      </c>
      <c r="V12">
        <v>2.5499999999999901E-2</v>
      </c>
      <c r="W12">
        <v>2.0192499999999999E-2</v>
      </c>
      <c r="X12">
        <v>1.1274999999999499E-3</v>
      </c>
      <c r="Y12">
        <v>1.4299999999999799E-3</v>
      </c>
      <c r="Z12">
        <v>1.1824999999999399E-3</v>
      </c>
      <c r="AA12">
        <v>1.37499999999997E-3</v>
      </c>
      <c r="AB12">
        <v>1.03125E-3</v>
      </c>
      <c r="AC12" s="2">
        <v>8.3874999999995802E-4</v>
      </c>
      <c r="AD12">
        <v>291.04372963096898</v>
      </c>
      <c r="AE12">
        <v>291.073419319999</v>
      </c>
      <c r="AF12">
        <v>-0.170057641134882</v>
      </c>
      <c r="AG12">
        <v>-0.17523927138005499</v>
      </c>
      <c r="AH12" s="7">
        <v>0.38669721377083399</v>
      </c>
      <c r="AI12" s="7">
        <v>0.389459192529853</v>
      </c>
    </row>
    <row r="13" spans="1:35" x14ac:dyDescent="0.25">
      <c r="A13">
        <v>1</v>
      </c>
      <c r="B13" s="1">
        <v>45792</v>
      </c>
      <c r="C13" s="1">
        <v>45782</v>
      </c>
      <c r="D13" s="3">
        <f t="shared" si="0"/>
        <v>10</v>
      </c>
      <c r="E13" t="s">
        <v>36</v>
      </c>
      <c r="F13" t="s">
        <v>34</v>
      </c>
      <c r="G13">
        <v>42.5</v>
      </c>
      <c r="H13">
        <v>30</v>
      </c>
      <c r="I13" t="s">
        <v>35</v>
      </c>
      <c r="J13">
        <v>3</v>
      </c>
      <c r="K13">
        <v>1.5875840000000001</v>
      </c>
      <c r="L13">
        <v>2.8952455527318899E-2</v>
      </c>
      <c r="M13">
        <v>7.3121858322744607E-2</v>
      </c>
      <c r="N13">
        <v>4.3927515883100302E-2</v>
      </c>
      <c r="O13">
        <v>2.4325117534942799E-2</v>
      </c>
      <c r="P13">
        <v>1.9442312579415501E-2</v>
      </c>
      <c r="Q13">
        <v>1.55228113087674E-2</v>
      </c>
      <c r="R13">
        <v>2.94049999999999E-2</v>
      </c>
      <c r="S13">
        <v>7.4010000000000006E-2</v>
      </c>
      <c r="T13">
        <v>4.41449999999999E-2</v>
      </c>
      <c r="U13">
        <v>2.4400000000000002E-2</v>
      </c>
      <c r="V13">
        <v>1.9752499999999999E-2</v>
      </c>
      <c r="W13">
        <v>1.5957499999999899E-2</v>
      </c>
      <c r="X13">
        <v>2.1637605510365699E-3</v>
      </c>
      <c r="Y13">
        <v>1.38892394400201E-3</v>
      </c>
      <c r="Z13">
        <v>1.1036605758415201E-3</v>
      </c>
      <c r="AA13" s="2">
        <v>9.2224138199645505E-4</v>
      </c>
      <c r="AB13" s="2">
        <v>7.7489515419830099E-4</v>
      </c>
      <c r="AC13" s="2">
        <v>7.6441426377761102E-4</v>
      </c>
      <c r="AD13">
        <v>293.98624988365901</v>
      </c>
      <c r="AE13">
        <v>293.99240839999999</v>
      </c>
      <c r="AF13">
        <v>-0.28779690729637403</v>
      </c>
      <c r="AG13">
        <v>-0.28805893938288601</v>
      </c>
      <c r="AH13" s="7">
        <v>0.58030836312235901</v>
      </c>
      <c r="AI13" s="7">
        <v>0.57866951073190198</v>
      </c>
    </row>
    <row r="14" spans="1:35" x14ac:dyDescent="0.25">
      <c r="A14">
        <v>2</v>
      </c>
      <c r="B14" s="1">
        <v>45792</v>
      </c>
      <c r="C14" s="1">
        <v>45782</v>
      </c>
      <c r="D14" s="3">
        <f t="shared" si="0"/>
        <v>10</v>
      </c>
      <c r="E14" t="s">
        <v>36</v>
      </c>
      <c r="F14" t="s">
        <v>34</v>
      </c>
      <c r="G14">
        <v>42.5</v>
      </c>
      <c r="H14">
        <v>30</v>
      </c>
      <c r="I14" t="s">
        <v>35</v>
      </c>
      <c r="J14">
        <v>2</v>
      </c>
      <c r="K14">
        <v>2.7371980000000002</v>
      </c>
      <c r="L14">
        <v>2.0235889668367299E-2</v>
      </c>
      <c r="M14">
        <v>6.6936186224489796E-2</v>
      </c>
      <c r="N14">
        <v>3.7205774872448902E-2</v>
      </c>
      <c r="O14">
        <v>1.8092117346938701E-2</v>
      </c>
      <c r="P14">
        <v>1.7438641581632601E-2</v>
      </c>
      <c r="Q14">
        <v>1.5075149872448901E-2</v>
      </c>
      <c r="R14">
        <v>1.99999999999999E-2</v>
      </c>
      <c r="S14">
        <v>6.71625E-2</v>
      </c>
      <c r="T14">
        <v>3.7132499999999902E-2</v>
      </c>
      <c r="U14">
        <v>1.8267499999999898E-2</v>
      </c>
      <c r="V14">
        <v>1.74425E-2</v>
      </c>
      <c r="W14">
        <v>1.51324999999999E-2</v>
      </c>
      <c r="X14" s="2">
        <v>4.1249999999999002E-4</v>
      </c>
      <c r="Y14" s="2">
        <v>1.65000000000206E-4</v>
      </c>
      <c r="Z14" s="2">
        <v>1.78749999999903E-4</v>
      </c>
      <c r="AA14" s="2">
        <v>5.5000000000014002E-5</v>
      </c>
      <c r="AB14" s="2">
        <v>2.4749999999998103E-4</v>
      </c>
      <c r="AC14" s="2">
        <v>2.8875000000003198E-4</v>
      </c>
      <c r="AD14">
        <v>293.79486951453998</v>
      </c>
      <c r="AE14">
        <v>293.78220017000001</v>
      </c>
      <c r="AF14">
        <v>-0.34589050388981502</v>
      </c>
      <c r="AG14">
        <v>-0.34210408555958299</v>
      </c>
      <c r="AH14" s="7">
        <v>0.58676255723790205</v>
      </c>
      <c r="AI14" s="7">
        <v>0.58382422243166798</v>
      </c>
    </row>
    <row r="15" spans="1:35" x14ac:dyDescent="0.25">
      <c r="A15">
        <v>3</v>
      </c>
      <c r="B15" s="1">
        <v>45792</v>
      </c>
      <c r="C15" s="1">
        <v>45782</v>
      </c>
      <c r="D15" s="3">
        <f t="shared" si="0"/>
        <v>10</v>
      </c>
      <c r="E15" t="s">
        <v>36</v>
      </c>
      <c r="F15" t="s">
        <v>34</v>
      </c>
      <c r="G15">
        <v>42.5</v>
      </c>
      <c r="H15">
        <v>30</v>
      </c>
      <c r="I15" t="s">
        <v>35</v>
      </c>
      <c r="J15">
        <v>3</v>
      </c>
      <c r="K15">
        <v>2.4044150000000002</v>
      </c>
      <c r="L15">
        <v>4.6891194968553401E-2</v>
      </c>
      <c r="M15">
        <v>9.0302279874213798E-2</v>
      </c>
      <c r="N15">
        <v>6.1852025157232697E-2</v>
      </c>
      <c r="O15">
        <v>3.9918544025157203E-2</v>
      </c>
      <c r="P15">
        <v>3.85286698113207E-2</v>
      </c>
      <c r="Q15">
        <v>3.3628100628930797E-2</v>
      </c>
      <c r="R15">
        <v>4.8544999999999998E-2</v>
      </c>
      <c r="S15">
        <v>9.1829999999999995E-2</v>
      </c>
      <c r="T15">
        <v>6.3807500000000003E-2</v>
      </c>
      <c r="U15">
        <v>4.1862499999999997E-2</v>
      </c>
      <c r="V15">
        <v>4.0404999999999899E-2</v>
      </c>
      <c r="W15">
        <v>3.5042499999999997E-2</v>
      </c>
      <c r="X15">
        <v>4.5389904959387602E-3</v>
      </c>
      <c r="Y15">
        <v>4.6800838370932504E-3</v>
      </c>
      <c r="Z15">
        <v>4.9594801194839302E-3</v>
      </c>
      <c r="AA15">
        <v>5.1219113999452304E-3</v>
      </c>
      <c r="AB15">
        <v>4.32408291497234E-3</v>
      </c>
      <c r="AC15">
        <v>3.5340323600983299E-3</v>
      </c>
      <c r="AD15">
        <v>293.60526496739601</v>
      </c>
      <c r="AE15">
        <v>293.59591807999999</v>
      </c>
      <c r="AF15">
        <v>-0.217333907010234</v>
      </c>
      <c r="AG15">
        <v>-0.20767483675593801</v>
      </c>
      <c r="AH15" s="7">
        <v>0.40332343389966402</v>
      </c>
      <c r="AI15" s="7">
        <v>0.39242353381348699</v>
      </c>
    </row>
    <row r="16" spans="1:35" x14ac:dyDescent="0.25">
      <c r="A16">
        <v>4</v>
      </c>
      <c r="B16" s="1">
        <v>45792</v>
      </c>
      <c r="C16" s="1">
        <v>45782</v>
      </c>
      <c r="D16" s="3">
        <f t="shared" si="0"/>
        <v>10</v>
      </c>
      <c r="E16" t="s">
        <v>36</v>
      </c>
      <c r="F16" t="s">
        <v>34</v>
      </c>
      <c r="G16">
        <v>42.5</v>
      </c>
      <c r="H16">
        <v>30</v>
      </c>
      <c r="I16" t="s">
        <v>35</v>
      </c>
      <c r="J16">
        <v>3</v>
      </c>
      <c r="K16">
        <v>2.495174</v>
      </c>
      <c r="L16">
        <v>2.30277983668341E-2</v>
      </c>
      <c r="M16">
        <v>6.3659324748743695E-2</v>
      </c>
      <c r="N16">
        <v>3.5223391959798997E-2</v>
      </c>
      <c r="O16">
        <v>1.52845445979899E-2</v>
      </c>
      <c r="P16">
        <v>1.68197424623115E-2</v>
      </c>
      <c r="Q16">
        <v>1.5748728015075299E-2</v>
      </c>
      <c r="R16">
        <v>2.2337499999999899E-2</v>
      </c>
      <c r="S16">
        <v>6.3092499999999996E-2</v>
      </c>
      <c r="T16">
        <v>3.4464999999999898E-2</v>
      </c>
      <c r="U16">
        <v>1.459625E-2</v>
      </c>
      <c r="V16">
        <v>1.6039999999999999E-2</v>
      </c>
      <c r="W16">
        <v>1.516E-2</v>
      </c>
      <c r="X16" s="2">
        <v>9.4340989088637604E-4</v>
      </c>
      <c r="Y16" s="2">
        <v>9.8804591098911802E-4</v>
      </c>
      <c r="Z16" s="2">
        <v>9.3724403913223895E-4</v>
      </c>
      <c r="AA16">
        <v>1.2307252830027599E-3</v>
      </c>
      <c r="AB16" s="2">
        <v>8.1794203136082604E-4</v>
      </c>
      <c r="AC16" s="2">
        <v>5.7786364212406396E-4</v>
      </c>
      <c r="AD16">
        <v>293.09058786937101</v>
      </c>
      <c r="AE16">
        <v>293.07296101999998</v>
      </c>
      <c r="AF16">
        <v>-0.397520165372439</v>
      </c>
      <c r="AG16">
        <v>-0.40291594832713301</v>
      </c>
      <c r="AH16" s="7">
        <v>0.58291534551120805</v>
      </c>
      <c r="AI16" s="7">
        <v>0.59474482061647305</v>
      </c>
    </row>
    <row r="17" spans="1:35" x14ac:dyDescent="0.25">
      <c r="A17">
        <v>6</v>
      </c>
      <c r="B17" s="1">
        <v>45792</v>
      </c>
      <c r="C17" s="1">
        <v>45782</v>
      </c>
      <c r="D17" s="3">
        <f t="shared" si="0"/>
        <v>10</v>
      </c>
      <c r="E17" t="s">
        <v>36</v>
      </c>
      <c r="F17" t="s">
        <v>34</v>
      </c>
      <c r="G17">
        <v>42.5</v>
      </c>
      <c r="H17">
        <v>30</v>
      </c>
      <c r="I17" t="s">
        <v>35</v>
      </c>
      <c r="J17">
        <v>3</v>
      </c>
      <c r="K17">
        <v>2.5859330000000003</v>
      </c>
      <c r="L17">
        <v>1.3474847522236299E-2</v>
      </c>
      <c r="M17">
        <v>5.17562452350699E-2</v>
      </c>
      <c r="N17">
        <v>2.2414548919949099E-2</v>
      </c>
      <c r="O17">
        <v>1.0551207115628901E-3</v>
      </c>
      <c r="P17">
        <v>2.6750349428208298E-3</v>
      </c>
      <c r="Q17">
        <v>3.4461531130876698E-3</v>
      </c>
      <c r="R17">
        <v>1.44175E-2</v>
      </c>
      <c r="S17">
        <v>5.2010000000000001E-2</v>
      </c>
      <c r="T17">
        <v>2.3217499999999999E-2</v>
      </c>
      <c r="U17">
        <v>1.7675E-3</v>
      </c>
      <c r="V17">
        <v>2.895E-3</v>
      </c>
      <c r="W17">
        <v>3.3899999999999998E-3</v>
      </c>
      <c r="X17">
        <v>1.2686481212517201E-3</v>
      </c>
      <c r="Y17" s="2">
        <v>5.72898333039908E-4</v>
      </c>
      <c r="Z17">
        <v>1.2127745966263601E-3</v>
      </c>
      <c r="AA17" s="2">
        <v>9.7933296460170805E-4</v>
      </c>
      <c r="AB17" s="2">
        <v>4.1158231254514001E-4</v>
      </c>
      <c r="AC17" s="2">
        <v>1.8009642479022299E-4</v>
      </c>
      <c r="AD17">
        <v>293.79327724752198</v>
      </c>
      <c r="AE17">
        <v>293.81808938</v>
      </c>
      <c r="AF17">
        <v>-0.85668211902281</v>
      </c>
      <c r="AG17">
        <v>-0.85851510906543804</v>
      </c>
      <c r="AH17" s="7">
        <v>0.90249913864998499</v>
      </c>
      <c r="AI17" s="7">
        <v>0.89454512339495396</v>
      </c>
    </row>
    <row r="18" spans="1:35" x14ac:dyDescent="0.25">
      <c r="A18">
        <v>7</v>
      </c>
      <c r="B18" s="1">
        <v>45792</v>
      </c>
      <c r="C18" s="1">
        <v>45782</v>
      </c>
      <c r="D18" s="3">
        <f t="shared" si="0"/>
        <v>10</v>
      </c>
      <c r="E18" t="s">
        <v>36</v>
      </c>
      <c r="F18" t="s">
        <v>34</v>
      </c>
      <c r="G18">
        <v>42.5</v>
      </c>
      <c r="H18">
        <v>30</v>
      </c>
      <c r="I18" t="s">
        <v>35</v>
      </c>
      <c r="J18">
        <v>3</v>
      </c>
      <c r="K18">
        <v>2.8582099999999997</v>
      </c>
      <c r="L18">
        <v>7.3845397225725E-3</v>
      </c>
      <c r="M18">
        <v>4.2614605926859998E-2</v>
      </c>
      <c r="N18">
        <v>1.8300791298864999E-2</v>
      </c>
      <c r="O18">
        <v>2.14240857503152E-3</v>
      </c>
      <c r="P18">
        <v>4.4412421185371902E-3</v>
      </c>
      <c r="Q18">
        <v>4.7283102143757796E-3</v>
      </c>
      <c r="R18">
        <v>8.1749999999999792E-3</v>
      </c>
      <c r="S18">
        <v>4.2687499999999899E-2</v>
      </c>
      <c r="T18">
        <v>1.8982499999999899E-2</v>
      </c>
      <c r="U18">
        <v>2.1799999999999801E-3</v>
      </c>
      <c r="V18">
        <v>3.41749999999999E-3</v>
      </c>
      <c r="W18">
        <v>4.1874999999999803E-3</v>
      </c>
      <c r="X18">
        <v>1.3326076149998401E-3</v>
      </c>
      <c r="Y18">
        <v>1.5312998291211401E-3</v>
      </c>
      <c r="Z18">
        <v>1.3108653842235599E-3</v>
      </c>
      <c r="AA18">
        <v>1.62138615251135E-3</v>
      </c>
      <c r="AB18">
        <v>3.0553752724592699E-3</v>
      </c>
      <c r="AC18">
        <v>2.2278206216439799E-3</v>
      </c>
      <c r="AD18">
        <v>293.74049213654399</v>
      </c>
      <c r="AE18">
        <v>293.74631095999899</v>
      </c>
      <c r="AF18">
        <v>-0.80283130644641298</v>
      </c>
      <c r="AG18">
        <v>-0.79397519196692301</v>
      </c>
      <c r="AH18" s="7">
        <v>0.81790419264134195</v>
      </c>
      <c r="AI18" s="7">
        <v>0.85175143693742505</v>
      </c>
    </row>
    <row r="19" spans="1:35" x14ac:dyDescent="0.25">
      <c r="A19">
        <v>8</v>
      </c>
      <c r="B19" s="1">
        <v>45792</v>
      </c>
      <c r="C19" s="1">
        <v>45782</v>
      </c>
      <c r="D19" s="3">
        <f t="shared" si="0"/>
        <v>10</v>
      </c>
      <c r="E19" t="s">
        <v>36</v>
      </c>
      <c r="F19" t="s">
        <v>34</v>
      </c>
      <c r="G19">
        <v>42.5</v>
      </c>
      <c r="H19">
        <v>30</v>
      </c>
      <c r="I19" t="s">
        <v>35</v>
      </c>
      <c r="J19">
        <v>3</v>
      </c>
      <c r="K19">
        <v>1.9506200000000002</v>
      </c>
      <c r="L19">
        <v>2.1231493055555498E-2</v>
      </c>
      <c r="M19">
        <v>4.6065451388888901E-2</v>
      </c>
      <c r="N19">
        <v>2.4861805555555502E-2</v>
      </c>
      <c r="O19">
        <v>1.0380902777777701E-2</v>
      </c>
      <c r="P19">
        <v>5.84347222222221E-3</v>
      </c>
      <c r="Q19">
        <v>5.3213888888888798E-3</v>
      </c>
      <c r="R19">
        <v>2.1100000000000001E-2</v>
      </c>
      <c r="S19">
        <v>4.5987499999999903E-2</v>
      </c>
      <c r="T19">
        <v>2.4785000000000001E-2</v>
      </c>
      <c r="U19">
        <v>1.0512499999999999E-2</v>
      </c>
      <c r="V19">
        <v>5.8924999999999898E-3</v>
      </c>
      <c r="W19">
        <v>5.39749999999999E-3</v>
      </c>
      <c r="X19">
        <v>1.34290884525594E-3</v>
      </c>
      <c r="Y19" s="2">
        <v>2.7068842277094802E-4</v>
      </c>
      <c r="Z19" s="2">
        <v>1.49503808944425E-4</v>
      </c>
      <c r="AA19" s="2">
        <v>5.6862895537326602E-4</v>
      </c>
      <c r="AB19" s="2">
        <v>3.0567775334310298E-4</v>
      </c>
      <c r="AC19" s="2">
        <v>1.2366509432965801E-4</v>
      </c>
      <c r="AD19">
        <v>293.32973114113599</v>
      </c>
      <c r="AE19">
        <v>293.336148559999</v>
      </c>
      <c r="AF19">
        <v>-0.41151352235024002</v>
      </c>
      <c r="AG19">
        <v>-0.40527544020931999</v>
      </c>
      <c r="AH19" s="7">
        <v>0.77498544737448505</v>
      </c>
      <c r="AI19" s="7">
        <v>0.77077558959396997</v>
      </c>
    </row>
    <row r="20" spans="1:35" x14ac:dyDescent="0.25">
      <c r="A20">
        <v>9</v>
      </c>
      <c r="B20" s="1">
        <v>45792</v>
      </c>
      <c r="C20" s="1">
        <v>45782</v>
      </c>
      <c r="D20" s="3">
        <f t="shared" si="0"/>
        <v>10</v>
      </c>
      <c r="E20" t="s">
        <v>36</v>
      </c>
      <c r="F20" t="s">
        <v>34</v>
      </c>
      <c r="G20">
        <v>42.5</v>
      </c>
      <c r="H20">
        <v>30</v>
      </c>
      <c r="I20" t="s">
        <v>35</v>
      </c>
      <c r="J20">
        <v>2</v>
      </c>
      <c r="K20">
        <v>3.8565590000000003</v>
      </c>
      <c r="L20">
        <v>2.8588654822335E-2</v>
      </c>
      <c r="M20">
        <v>5.0332255710659898E-2</v>
      </c>
      <c r="N20">
        <v>2.9500970812182701E-2</v>
      </c>
      <c r="O20">
        <v>1.26513229695431E-2</v>
      </c>
      <c r="P20">
        <v>5.1265482233502496E-3</v>
      </c>
      <c r="Q20">
        <v>3.5662722081218198E-3</v>
      </c>
      <c r="R20">
        <v>2.83049999999999E-2</v>
      </c>
      <c r="S20">
        <v>5.0222500000000003E-2</v>
      </c>
      <c r="T20">
        <v>2.9542499999999999E-2</v>
      </c>
      <c r="U20">
        <v>1.26024999999999E-2</v>
      </c>
      <c r="V20">
        <v>4.9024999999999997E-3</v>
      </c>
      <c r="W20">
        <v>3.5274999999999799E-3</v>
      </c>
      <c r="X20" s="2">
        <v>2.7500000000016899E-4</v>
      </c>
      <c r="Y20" s="2">
        <v>1.9249999999867599E-4</v>
      </c>
      <c r="Z20" s="2">
        <v>2.2000000000005601E-4</v>
      </c>
      <c r="AA20" s="2">
        <v>1.09999999999904E-4</v>
      </c>
      <c r="AB20">
        <v>0</v>
      </c>
      <c r="AC20" s="2">
        <v>4.12499999999695E-5</v>
      </c>
      <c r="AD20">
        <v>293.383571418705</v>
      </c>
      <c r="AE20">
        <v>293.40792697999899</v>
      </c>
      <c r="AF20">
        <v>-0.39983488807712098</v>
      </c>
      <c r="AG20">
        <v>-0.401945663779808</v>
      </c>
      <c r="AH20" s="7">
        <v>0.81530661180997099</v>
      </c>
      <c r="AI20" s="7">
        <v>0.82106031572223703</v>
      </c>
    </row>
    <row r="21" spans="1:35" x14ac:dyDescent="0.25">
      <c r="A21">
        <v>10</v>
      </c>
      <c r="B21" s="1">
        <v>45792</v>
      </c>
      <c r="C21" s="1">
        <v>45782</v>
      </c>
      <c r="D21" s="3">
        <f t="shared" si="0"/>
        <v>10</v>
      </c>
      <c r="E21" t="s">
        <v>36</v>
      </c>
      <c r="F21" t="s">
        <v>34</v>
      </c>
      <c r="G21">
        <v>42.5</v>
      </c>
      <c r="H21">
        <v>30</v>
      </c>
      <c r="I21" t="s">
        <v>35</v>
      </c>
      <c r="J21">
        <v>3</v>
      </c>
      <c r="K21">
        <v>5.2481970000000002</v>
      </c>
      <c r="L21">
        <v>1.5329064910025701E-2</v>
      </c>
      <c r="M21">
        <v>4.1111905526992197E-2</v>
      </c>
      <c r="N21">
        <v>2.4423965295629801E-2</v>
      </c>
      <c r="O21">
        <v>1.5511066838046201E-2</v>
      </c>
      <c r="P21">
        <v>1.0871166452442099E-2</v>
      </c>
      <c r="Q21">
        <v>8.3810732647814808E-3</v>
      </c>
      <c r="R21">
        <v>1.36475E-2</v>
      </c>
      <c r="S21">
        <v>4.0569999999999898E-2</v>
      </c>
      <c r="T21">
        <v>2.3822499999999899E-2</v>
      </c>
      <c r="U21">
        <v>1.516E-2</v>
      </c>
      <c r="V21">
        <v>1.08425E-2</v>
      </c>
      <c r="W21">
        <v>8.2299999999999804E-3</v>
      </c>
      <c r="X21">
        <v>1.3124029064616001E-3</v>
      </c>
      <c r="Y21" s="2">
        <v>9.2506155951312596E-4</v>
      </c>
      <c r="Z21" s="2">
        <v>6.5437417091110297E-4</v>
      </c>
      <c r="AA21" s="2">
        <v>5.7084124082113896E-4</v>
      </c>
      <c r="AB21" s="2">
        <v>3.6089202755887898E-4</v>
      </c>
      <c r="AC21" s="2">
        <v>4.3365212632554098E-4</v>
      </c>
      <c r="AD21">
        <v>293.89842603002501</v>
      </c>
      <c r="AE21">
        <v>293.90353987999998</v>
      </c>
      <c r="AF21">
        <v>-0.22495869440552901</v>
      </c>
      <c r="AG21">
        <v>-0.24080437826142201</v>
      </c>
      <c r="AH21" s="7">
        <v>0.58199183255461495</v>
      </c>
      <c r="AI21" s="7">
        <v>0.58464157367126901</v>
      </c>
    </row>
    <row r="22" spans="1:35" x14ac:dyDescent="0.25">
      <c r="A22">
        <v>11</v>
      </c>
      <c r="B22" s="1">
        <v>45792</v>
      </c>
      <c r="C22" s="1">
        <v>45782</v>
      </c>
      <c r="D22" s="3">
        <f t="shared" si="0"/>
        <v>10</v>
      </c>
      <c r="E22" t="s">
        <v>36</v>
      </c>
      <c r="F22" t="s">
        <v>34</v>
      </c>
      <c r="G22">
        <v>42.5</v>
      </c>
      <c r="H22">
        <v>30</v>
      </c>
      <c r="I22" t="s">
        <v>35</v>
      </c>
      <c r="J22">
        <v>2</v>
      </c>
      <c r="K22">
        <v>9.6651350000000011</v>
      </c>
      <c r="L22">
        <v>2.7524582270408101E-2</v>
      </c>
      <c r="M22">
        <v>4.6729017857142799E-2</v>
      </c>
      <c r="N22">
        <v>3.2709209183673399E-2</v>
      </c>
      <c r="O22">
        <v>2.6848306760203999E-2</v>
      </c>
      <c r="P22">
        <v>1.83898820153061E-2</v>
      </c>
      <c r="Q22">
        <v>1.38307397959183E-2</v>
      </c>
      <c r="R22">
        <v>2.4042499999999901E-2</v>
      </c>
      <c r="S22">
        <v>4.3649999999999897E-2</v>
      </c>
      <c r="T22">
        <v>2.87175E-2</v>
      </c>
      <c r="U22">
        <v>1.9449999999999901E-2</v>
      </c>
      <c r="V22">
        <v>1.813E-2</v>
      </c>
      <c r="W22">
        <v>1.1282500000000001E-2</v>
      </c>
      <c r="X22">
        <v>4.0425000000000001E-3</v>
      </c>
      <c r="Y22">
        <v>4.3862500000000403E-3</v>
      </c>
      <c r="Z22">
        <v>5.00499999999998E-3</v>
      </c>
      <c r="AA22">
        <v>8.7174999999999996E-3</v>
      </c>
      <c r="AB22">
        <v>3.3274999999999902E-3</v>
      </c>
      <c r="AC22">
        <v>3.6574999999999902E-3</v>
      </c>
      <c r="AD22">
        <v>294.60528467237202</v>
      </c>
      <c r="AE22">
        <v>294.63841417999998</v>
      </c>
      <c r="AF22">
        <v>-0.13197845353152499</v>
      </c>
      <c r="AG22">
        <v>-0.19240151554471399</v>
      </c>
      <c r="AH22" s="7">
        <v>0.45508563217598402</v>
      </c>
      <c r="AI22" s="7">
        <v>0.40243902439024298</v>
      </c>
    </row>
    <row r="23" spans="1:35" x14ac:dyDescent="0.25">
      <c r="A23">
        <v>1</v>
      </c>
      <c r="B23" s="1">
        <v>45824</v>
      </c>
      <c r="C23" s="1">
        <v>45830</v>
      </c>
      <c r="D23" s="3">
        <f t="shared" si="0"/>
        <v>-6</v>
      </c>
      <c r="E23" t="s">
        <v>36</v>
      </c>
      <c r="F23" t="s">
        <v>34</v>
      </c>
      <c r="G23">
        <v>10.47</v>
      </c>
      <c r="H23">
        <v>30</v>
      </c>
      <c r="I23" t="s">
        <v>35</v>
      </c>
      <c r="J23">
        <v>3</v>
      </c>
      <c r="K23">
        <v>7.2751480000000006</v>
      </c>
      <c r="L23">
        <v>2.0981229351969499E-2</v>
      </c>
      <c r="M23">
        <v>6.9589768106734395E-2</v>
      </c>
      <c r="N23">
        <v>4.0186677255400198E-2</v>
      </c>
      <c r="O23">
        <v>3.7342401524777601E-2</v>
      </c>
      <c r="P23">
        <v>3.0103541931384901E-2</v>
      </c>
      <c r="Q23">
        <v>2.40686372299872E-2</v>
      </c>
      <c r="R23">
        <v>2.14574999999999E-2</v>
      </c>
      <c r="S23">
        <v>6.9087499999999996E-2</v>
      </c>
      <c r="T23">
        <v>3.9579999999999997E-2</v>
      </c>
      <c r="U23">
        <v>3.6499999999999998E-2</v>
      </c>
      <c r="V23">
        <v>2.9624999999999901E-2</v>
      </c>
      <c r="W23">
        <v>2.44824999999999E-2</v>
      </c>
      <c r="X23">
        <v>1.9943768171759402E-3</v>
      </c>
      <c r="Y23">
        <v>1.3702863650428799E-3</v>
      </c>
      <c r="Z23">
        <v>1.5227155019897399E-3</v>
      </c>
      <c r="AA23">
        <v>1.3409050633392901E-3</v>
      </c>
      <c r="AB23" s="2">
        <v>7.9396246062948296E-4</v>
      </c>
      <c r="AC23" s="2">
        <v>9.2932098867937803E-4</v>
      </c>
      <c r="AD23">
        <v>301.41085816111797</v>
      </c>
      <c r="AE23">
        <v>301.40951180000002</v>
      </c>
      <c r="AF23">
        <v>-3.6659755301658797E-2</v>
      </c>
      <c r="AG23">
        <v>-3.8989058406533897E-2</v>
      </c>
      <c r="AH23" s="7">
        <v>0.39612503265080301</v>
      </c>
      <c r="AI23" s="7">
        <v>0.39369131980864103</v>
      </c>
    </row>
    <row r="24" spans="1:35" x14ac:dyDescent="0.25">
      <c r="A24">
        <v>2</v>
      </c>
      <c r="B24" s="1">
        <v>45824</v>
      </c>
      <c r="C24" s="1">
        <v>45830</v>
      </c>
      <c r="D24" s="3">
        <f t="shared" si="0"/>
        <v>-6</v>
      </c>
      <c r="E24" t="s">
        <v>36</v>
      </c>
      <c r="F24" t="s">
        <v>34</v>
      </c>
      <c r="G24">
        <v>10.47</v>
      </c>
      <c r="H24">
        <v>30</v>
      </c>
      <c r="I24" t="s">
        <v>35</v>
      </c>
      <c r="J24">
        <v>2</v>
      </c>
      <c r="K24">
        <v>5.5204740000000001</v>
      </c>
      <c r="L24">
        <v>1.9697745535714201E-2</v>
      </c>
      <c r="M24">
        <v>6.3837946428571393E-2</v>
      </c>
      <c r="N24">
        <v>3.4843054846938698E-2</v>
      </c>
      <c r="O24">
        <v>2.9817745535714198E-2</v>
      </c>
      <c r="P24">
        <v>2.20363329081632E-2</v>
      </c>
      <c r="Q24">
        <v>1.7656151147959102E-2</v>
      </c>
      <c r="R24">
        <v>1.92574999999999E-2</v>
      </c>
      <c r="S24">
        <v>6.3917500000000002E-2</v>
      </c>
      <c r="T24">
        <v>3.4987499999999998E-2</v>
      </c>
      <c r="U24">
        <v>2.97349999999999E-2</v>
      </c>
      <c r="V24">
        <v>2.18424999999999E-2</v>
      </c>
      <c r="W24">
        <v>1.74425E-2</v>
      </c>
      <c r="X24">
        <v>1.25124999999999E-3</v>
      </c>
      <c r="Y24" s="2">
        <v>3.0250000000009902E-4</v>
      </c>
      <c r="Z24" s="2">
        <v>2.47500000000309E-4</v>
      </c>
      <c r="AA24" s="2">
        <v>3.71249999999953E-4</v>
      </c>
      <c r="AB24" s="2">
        <v>4.1249999999999002E-4</v>
      </c>
      <c r="AC24" s="2">
        <v>3.5749999999995898E-4</v>
      </c>
      <c r="AD24">
        <v>301.21646778522899</v>
      </c>
      <c r="AE24">
        <v>301.20101258</v>
      </c>
      <c r="AF24">
        <v>-7.7717078480097596E-2</v>
      </c>
      <c r="AG24">
        <v>-7.66384569966541E-2</v>
      </c>
      <c r="AH24" s="7">
        <v>0.48682752151433201</v>
      </c>
      <c r="AI24" s="7">
        <v>0.49207917914135402</v>
      </c>
    </row>
    <row r="25" spans="1:35" x14ac:dyDescent="0.25">
      <c r="A25">
        <v>3</v>
      </c>
      <c r="B25" s="1">
        <v>45824</v>
      </c>
      <c r="C25" s="1">
        <v>45830</v>
      </c>
      <c r="D25" s="3">
        <f t="shared" si="0"/>
        <v>-6</v>
      </c>
      <c r="E25" t="s">
        <v>36</v>
      </c>
      <c r="F25" t="s">
        <v>34</v>
      </c>
      <c r="G25">
        <v>10.47</v>
      </c>
      <c r="H25">
        <v>30</v>
      </c>
      <c r="I25" t="s">
        <v>35</v>
      </c>
      <c r="J25">
        <v>3</v>
      </c>
      <c r="K25">
        <v>7.5776779999999997</v>
      </c>
      <c r="L25">
        <v>2.3970342767295601E-2</v>
      </c>
      <c r="M25">
        <v>7.0560808176100595E-2</v>
      </c>
      <c r="N25">
        <v>3.9776374213836403E-2</v>
      </c>
      <c r="O25">
        <v>3.2430380503144597E-2</v>
      </c>
      <c r="P25">
        <v>2.6577100628930799E-2</v>
      </c>
      <c r="Q25">
        <v>2.1904245283018799E-2</v>
      </c>
      <c r="R25">
        <v>2.4289999999999999E-2</v>
      </c>
      <c r="S25">
        <v>6.9610000000000005E-2</v>
      </c>
      <c r="T25">
        <v>3.9140000000000001E-2</v>
      </c>
      <c r="U25">
        <v>3.2237500000000002E-2</v>
      </c>
      <c r="V25">
        <v>2.5967500000000001E-2</v>
      </c>
      <c r="W25">
        <v>2.1155E-2</v>
      </c>
      <c r="X25">
        <v>3.5853738376291598E-3</v>
      </c>
      <c r="Y25">
        <v>2.1962154948912301E-3</v>
      </c>
      <c r="Z25">
        <v>2.4132196681336199E-3</v>
      </c>
      <c r="AA25">
        <v>2.3860465325628898E-3</v>
      </c>
      <c r="AB25">
        <v>1.1762658665833E-3</v>
      </c>
      <c r="AC25">
        <v>1.0379808122824999E-3</v>
      </c>
      <c r="AD25">
        <v>300.831642851396</v>
      </c>
      <c r="AE25">
        <v>300.83870245999998</v>
      </c>
      <c r="AF25">
        <v>-0.10206013025244801</v>
      </c>
      <c r="AG25">
        <v>-9.8019435757759094E-2</v>
      </c>
      <c r="AH25" s="7">
        <v>0.45322999098789601</v>
      </c>
      <c r="AI25" s="7">
        <v>0.45644027462457898</v>
      </c>
    </row>
    <row r="26" spans="1:35" x14ac:dyDescent="0.25">
      <c r="A26">
        <v>4</v>
      </c>
      <c r="B26" s="1">
        <v>45824</v>
      </c>
      <c r="C26" s="1">
        <v>45830</v>
      </c>
      <c r="D26" s="3">
        <f t="shared" si="0"/>
        <v>-6</v>
      </c>
      <c r="E26" t="s">
        <v>36</v>
      </c>
      <c r="F26" t="s">
        <v>34</v>
      </c>
      <c r="G26">
        <v>10.47</v>
      </c>
      <c r="H26">
        <v>30</v>
      </c>
      <c r="I26" t="s">
        <v>35</v>
      </c>
      <c r="J26">
        <v>3</v>
      </c>
      <c r="K26">
        <v>4.7036430000000005</v>
      </c>
      <c r="L26">
        <v>1.08116834170854E-2</v>
      </c>
      <c r="M26">
        <v>5.8012531407035099E-2</v>
      </c>
      <c r="N26">
        <v>3.1041906407035101E-2</v>
      </c>
      <c r="O26">
        <v>2.5894915201004998E-2</v>
      </c>
      <c r="P26">
        <v>2.4056077261306499E-2</v>
      </c>
      <c r="Q26">
        <v>2.0964745603014999E-2</v>
      </c>
      <c r="R26">
        <v>1.0869999999999901E-2</v>
      </c>
      <c r="S26">
        <v>5.77024999999999E-2</v>
      </c>
      <c r="T26">
        <v>3.1329999999999997E-2</v>
      </c>
      <c r="U26">
        <v>2.5967500000000001E-2</v>
      </c>
      <c r="V26">
        <v>2.4289999999999999E-2</v>
      </c>
      <c r="W26">
        <v>2.1237499999999899E-2</v>
      </c>
      <c r="X26" s="2">
        <v>8.5294343305988602E-4</v>
      </c>
      <c r="Y26" s="2">
        <v>3.4298526039772901E-5</v>
      </c>
      <c r="Z26" s="2">
        <v>5.5380627378978696E-4</v>
      </c>
      <c r="AA26" s="2">
        <v>4.8017936463599898E-4</v>
      </c>
      <c r="AB26" s="2">
        <v>9.5298070401357896E-4</v>
      </c>
      <c r="AC26" s="2">
        <v>7.89504943338231E-4</v>
      </c>
      <c r="AD26">
        <v>300.39811281160797</v>
      </c>
      <c r="AE26">
        <v>300.38410579999999</v>
      </c>
      <c r="AF26">
        <v>-9.0450615619941596E-2</v>
      </c>
      <c r="AG26">
        <v>-9.0794280817284204E-2</v>
      </c>
      <c r="AH26" s="7">
        <v>0.41397991057542199</v>
      </c>
      <c r="AI26" s="7">
        <v>0.40710907704042698</v>
      </c>
    </row>
    <row r="27" spans="1:35" x14ac:dyDescent="0.25">
      <c r="A27">
        <v>5</v>
      </c>
      <c r="B27" s="1">
        <v>45824</v>
      </c>
      <c r="C27" s="1">
        <v>45830</v>
      </c>
      <c r="D27" s="3">
        <f t="shared" si="0"/>
        <v>-6</v>
      </c>
      <c r="E27" t="s">
        <v>36</v>
      </c>
      <c r="F27" t="s">
        <v>34</v>
      </c>
      <c r="G27">
        <v>10.47</v>
      </c>
      <c r="H27">
        <v>30</v>
      </c>
      <c r="I27" t="s">
        <v>35</v>
      </c>
      <c r="J27">
        <v>3</v>
      </c>
      <c r="K27">
        <v>6.8516060000000003</v>
      </c>
      <c r="L27">
        <v>2.7610955696202501E-2</v>
      </c>
      <c r="M27">
        <v>6.1778313291139197E-2</v>
      </c>
      <c r="N27">
        <v>4.1132810126582202E-2</v>
      </c>
      <c r="O27">
        <v>3.6992284810126501E-2</v>
      </c>
      <c r="P27">
        <v>2.6112449367088598E-2</v>
      </c>
      <c r="Q27">
        <v>2.0259405063291099E-2</v>
      </c>
      <c r="R27">
        <v>2.7782499999999901E-2</v>
      </c>
      <c r="S27">
        <v>6.1854999999999903E-2</v>
      </c>
      <c r="T27">
        <v>4.0872499999999999E-2</v>
      </c>
      <c r="U27">
        <v>3.6637499999999899E-2</v>
      </c>
      <c r="V27">
        <v>2.6187499999999999E-2</v>
      </c>
      <c r="W27">
        <v>2.0274999999999901E-2</v>
      </c>
      <c r="X27">
        <v>2.1807035689326202E-3</v>
      </c>
      <c r="Y27">
        <v>1.5233775522393799E-3</v>
      </c>
      <c r="Z27">
        <v>1.34447222193522E-3</v>
      </c>
      <c r="AA27">
        <v>1.3084914978706401E-3</v>
      </c>
      <c r="AB27" s="2">
        <v>8.6293346595594004E-4</v>
      </c>
      <c r="AC27" s="2">
        <v>7.0898107638122504E-4</v>
      </c>
      <c r="AD27">
        <v>301.66824293417699</v>
      </c>
      <c r="AE27">
        <v>301.61801101999998</v>
      </c>
      <c r="AF27">
        <v>-5.3049448057084399E-2</v>
      </c>
      <c r="AG27">
        <v>-5.2204733869998902E-2</v>
      </c>
      <c r="AH27" s="7">
        <v>0.405935119579312</v>
      </c>
      <c r="AI27" s="7">
        <v>0.40511684697731198</v>
      </c>
    </row>
    <row r="28" spans="1:35" x14ac:dyDescent="0.25">
      <c r="A28">
        <v>6</v>
      </c>
      <c r="B28" s="1">
        <v>45824</v>
      </c>
      <c r="C28" s="1">
        <v>45830</v>
      </c>
      <c r="D28" s="3">
        <f t="shared" si="0"/>
        <v>-6</v>
      </c>
      <c r="E28" t="s">
        <v>36</v>
      </c>
      <c r="F28" t="s">
        <v>34</v>
      </c>
      <c r="G28">
        <v>10.47</v>
      </c>
      <c r="H28">
        <v>30</v>
      </c>
      <c r="I28" t="s">
        <v>35</v>
      </c>
      <c r="J28">
        <v>3</v>
      </c>
      <c r="K28">
        <v>8.969316000000001</v>
      </c>
      <c r="L28">
        <v>1.9082471410419299E-2</v>
      </c>
      <c r="M28">
        <v>5.5437436467598397E-2</v>
      </c>
      <c r="N28">
        <v>2.9121928208386199E-2</v>
      </c>
      <c r="O28">
        <v>2.2297420584498E-2</v>
      </c>
      <c r="P28">
        <v>1.37123538754764E-2</v>
      </c>
      <c r="Q28">
        <v>1.0704825285895799E-2</v>
      </c>
      <c r="R28">
        <v>1.9889999999999901E-2</v>
      </c>
      <c r="S28">
        <v>5.4622499999999997E-2</v>
      </c>
      <c r="T28">
        <v>2.8442499999999999E-2</v>
      </c>
      <c r="U28">
        <v>2.198E-2</v>
      </c>
      <c r="V28">
        <v>1.30149999999999E-2</v>
      </c>
      <c r="W28">
        <v>1.0264999999999899E-2</v>
      </c>
      <c r="X28">
        <v>3.2205149691728898E-3</v>
      </c>
      <c r="Y28">
        <v>3.1461837553172301E-3</v>
      </c>
      <c r="Z28">
        <v>2.95650225021994E-3</v>
      </c>
      <c r="AA28">
        <v>3.0646841417818001E-3</v>
      </c>
      <c r="AB28">
        <v>2.3577764360138598E-3</v>
      </c>
      <c r="AC28">
        <v>1.94406825726075E-3</v>
      </c>
      <c r="AD28">
        <v>301.85425396523499</v>
      </c>
      <c r="AE28">
        <v>301.82992825999997</v>
      </c>
      <c r="AF28">
        <v>-0.136774635336326</v>
      </c>
      <c r="AG28">
        <v>-0.12578303669086199</v>
      </c>
      <c r="AH28" s="7">
        <v>0.60845870597854201</v>
      </c>
      <c r="AI28" s="7">
        <v>0.60992057545331901</v>
      </c>
    </row>
    <row r="29" spans="1:35" x14ac:dyDescent="0.25">
      <c r="A29">
        <v>7</v>
      </c>
      <c r="B29" s="1">
        <v>45824</v>
      </c>
      <c r="C29" s="1">
        <v>45830</v>
      </c>
      <c r="D29" s="3">
        <f t="shared" si="0"/>
        <v>-6</v>
      </c>
      <c r="E29" t="s">
        <v>36</v>
      </c>
      <c r="F29" t="s">
        <v>34</v>
      </c>
      <c r="G29">
        <v>10.47</v>
      </c>
      <c r="H29">
        <v>30</v>
      </c>
      <c r="I29" t="s">
        <v>35</v>
      </c>
      <c r="J29">
        <v>3</v>
      </c>
      <c r="K29">
        <v>8.7575450000000004</v>
      </c>
      <c r="L29">
        <v>2.2467301387137401E-2</v>
      </c>
      <c r="M29">
        <v>4.9415948928120998E-2</v>
      </c>
      <c r="N29">
        <v>2.9046945145018901E-2</v>
      </c>
      <c r="O29">
        <v>2.3826279949558601E-2</v>
      </c>
      <c r="P29">
        <v>1.22740258511979E-2</v>
      </c>
      <c r="Q29">
        <v>8.9451040353089508E-3</v>
      </c>
      <c r="R29">
        <v>2.33549999999999E-2</v>
      </c>
      <c r="S29">
        <v>5.0222500000000003E-2</v>
      </c>
      <c r="T29">
        <v>2.9624999999999901E-2</v>
      </c>
      <c r="U29">
        <v>2.4400000000000002E-2</v>
      </c>
      <c r="V29">
        <v>1.28224999999999E-2</v>
      </c>
      <c r="W29">
        <v>9.4400000000000005E-3</v>
      </c>
      <c r="X29" s="2">
        <v>1.8287442564671999E-4</v>
      </c>
      <c r="Y29" s="2">
        <v>5.1789638603335101E-4</v>
      </c>
      <c r="Z29" s="2">
        <v>9.1602477525925402E-4</v>
      </c>
      <c r="AA29" s="2">
        <v>8.1978909889476696E-4</v>
      </c>
      <c r="AB29" s="2">
        <v>8.2081345153587303E-4</v>
      </c>
      <c r="AC29" s="2">
        <v>7.4097064719191202E-4</v>
      </c>
      <c r="AD29">
        <v>300.90456723127301</v>
      </c>
      <c r="AE29">
        <v>300.88997275999998</v>
      </c>
      <c r="AF29">
        <v>-9.9711527692217403E-2</v>
      </c>
      <c r="AG29">
        <v>-9.6714484035168496E-2</v>
      </c>
      <c r="AH29" s="7">
        <v>0.60439472509622105</v>
      </c>
      <c r="AI29" s="7">
        <v>0.59322706003648196</v>
      </c>
    </row>
    <row r="30" spans="1:35" x14ac:dyDescent="0.25">
      <c r="A30">
        <v>8</v>
      </c>
      <c r="B30" s="1">
        <v>45824</v>
      </c>
      <c r="C30" s="1">
        <v>45830</v>
      </c>
      <c r="D30" s="3">
        <f t="shared" si="0"/>
        <v>-6</v>
      </c>
      <c r="E30" t="s">
        <v>36</v>
      </c>
      <c r="F30" t="s">
        <v>34</v>
      </c>
      <c r="G30">
        <v>10.47</v>
      </c>
      <c r="H30">
        <v>30</v>
      </c>
      <c r="I30" t="s">
        <v>35</v>
      </c>
      <c r="J30">
        <v>3</v>
      </c>
      <c r="K30">
        <v>7.69869</v>
      </c>
      <c r="L30">
        <v>3.4458506944444398E-2</v>
      </c>
      <c r="M30">
        <v>5.9672013888888799E-2</v>
      </c>
      <c r="N30">
        <v>4.1122430555555499E-2</v>
      </c>
      <c r="O30">
        <v>3.7855173611111098E-2</v>
      </c>
      <c r="P30">
        <v>2.3723229166666599E-2</v>
      </c>
      <c r="Q30">
        <v>1.77780208333333E-2</v>
      </c>
      <c r="R30">
        <v>3.4025E-2</v>
      </c>
      <c r="S30">
        <v>5.9984999999999997E-2</v>
      </c>
      <c r="T30">
        <v>4.1724999999999901E-2</v>
      </c>
      <c r="U30">
        <v>3.7764999999999903E-2</v>
      </c>
      <c r="V30">
        <v>2.4262499999999899E-2</v>
      </c>
      <c r="W30">
        <v>1.8405000000000001E-2</v>
      </c>
      <c r="X30">
        <v>1.37138970472367E-3</v>
      </c>
      <c r="Y30">
        <v>2.3607681777100798E-3</v>
      </c>
      <c r="Z30">
        <v>2.5982609034163398E-3</v>
      </c>
      <c r="AA30">
        <v>2.5387860725595199E-3</v>
      </c>
      <c r="AB30">
        <v>2.5887354806717498E-3</v>
      </c>
      <c r="AC30">
        <v>2.1141441662184601E-3</v>
      </c>
      <c r="AD30">
        <v>301.48558863909</v>
      </c>
      <c r="AE30">
        <v>301.43001992000001</v>
      </c>
      <c r="AF30">
        <v>-4.1936440974253503E-2</v>
      </c>
      <c r="AG30">
        <v>-4.5797755980523498E-2</v>
      </c>
      <c r="AH30" s="7">
        <v>0.433998347091887</v>
      </c>
      <c r="AI30" s="7">
        <v>0.43399527600384902</v>
      </c>
    </row>
    <row r="31" spans="1:35" x14ac:dyDescent="0.25">
      <c r="A31">
        <v>9</v>
      </c>
      <c r="B31" s="1">
        <v>45824</v>
      </c>
      <c r="C31" s="1">
        <v>45830</v>
      </c>
      <c r="D31" s="3">
        <f t="shared" si="0"/>
        <v>-6</v>
      </c>
      <c r="E31" t="s">
        <v>36</v>
      </c>
      <c r="F31" t="s">
        <v>34</v>
      </c>
      <c r="G31">
        <v>10.47</v>
      </c>
      <c r="H31">
        <v>30</v>
      </c>
      <c r="I31" t="s">
        <v>35</v>
      </c>
      <c r="J31">
        <v>2</v>
      </c>
      <c r="K31">
        <v>7.9407139999999998</v>
      </c>
      <c r="L31">
        <v>2.7327493654822298E-2</v>
      </c>
      <c r="M31">
        <v>5.8313083756345099E-2</v>
      </c>
      <c r="N31">
        <v>4.0369194162436499E-2</v>
      </c>
      <c r="O31">
        <v>3.9648017131979699E-2</v>
      </c>
      <c r="P31">
        <v>2.95821446700507E-2</v>
      </c>
      <c r="Q31">
        <v>2.4218562817258801E-2</v>
      </c>
      <c r="R31">
        <v>2.5719999999999899E-2</v>
      </c>
      <c r="S31">
        <v>5.7207500000000001E-2</v>
      </c>
      <c r="T31">
        <v>3.9167499999999897E-2</v>
      </c>
      <c r="U31">
        <v>3.8782499999999998E-2</v>
      </c>
      <c r="V31">
        <v>2.87175E-2</v>
      </c>
      <c r="W31">
        <v>2.4510000000000001E-2</v>
      </c>
      <c r="X31">
        <v>2.5849999999999801E-3</v>
      </c>
      <c r="Y31">
        <v>1.4162500000000401E-3</v>
      </c>
      <c r="Z31">
        <v>1.66374999999996E-3</v>
      </c>
      <c r="AA31" s="2">
        <v>9.3499999999992005E-4</v>
      </c>
      <c r="AB31" s="2">
        <v>5.5000000000004199E-4</v>
      </c>
      <c r="AC31" s="2">
        <v>5.6375000000002701E-4</v>
      </c>
      <c r="AD31">
        <v>300.93783805276598</v>
      </c>
      <c r="AE31">
        <v>301.02327553999999</v>
      </c>
      <c r="AF31">
        <v>-8.7683778303786104E-3</v>
      </c>
      <c r="AG31">
        <v>-4.9390635022449796E-3</v>
      </c>
      <c r="AH31" s="7">
        <v>0.32679038054610399</v>
      </c>
      <c r="AI31" s="7">
        <v>0.33156822810590603</v>
      </c>
    </row>
    <row r="32" spans="1:35" x14ac:dyDescent="0.25">
      <c r="A32">
        <v>10</v>
      </c>
      <c r="B32" s="1">
        <v>45824</v>
      </c>
      <c r="C32" s="1">
        <v>45830</v>
      </c>
      <c r="D32" s="3">
        <f t="shared" si="0"/>
        <v>-6</v>
      </c>
      <c r="E32" t="s">
        <v>36</v>
      </c>
      <c r="F32" t="s">
        <v>34</v>
      </c>
      <c r="G32">
        <v>10.47</v>
      </c>
      <c r="H32">
        <v>30</v>
      </c>
      <c r="I32" t="s">
        <v>35</v>
      </c>
      <c r="J32">
        <v>3</v>
      </c>
      <c r="K32">
        <v>6.9121120000000005</v>
      </c>
      <c r="L32">
        <v>2.91121143958868E-2</v>
      </c>
      <c r="M32">
        <v>5.9043071979434397E-2</v>
      </c>
      <c r="N32">
        <v>4.2556857326478098E-2</v>
      </c>
      <c r="O32">
        <v>4.2976285347043598E-2</v>
      </c>
      <c r="P32">
        <v>3.0317483933161901E-2</v>
      </c>
      <c r="Q32">
        <v>2.32273971722365E-2</v>
      </c>
      <c r="R32">
        <v>2.86349999999999E-2</v>
      </c>
      <c r="S32">
        <v>5.8692499999999898E-2</v>
      </c>
      <c r="T32">
        <v>4.2110000000000002E-2</v>
      </c>
      <c r="U32">
        <v>4.2852499999999898E-2</v>
      </c>
      <c r="V32">
        <v>3.0175E-2</v>
      </c>
      <c r="W32">
        <v>2.30249999999999E-2</v>
      </c>
      <c r="X32" s="2">
        <v>7.2271478929571695E-4</v>
      </c>
      <c r="Y32" s="2">
        <v>1.81490740504892E-4</v>
      </c>
      <c r="Z32" s="2">
        <v>2.14194226502167E-4</v>
      </c>
      <c r="AA32" s="2">
        <v>4.6794913066353398E-4</v>
      </c>
      <c r="AB32" s="2">
        <v>5.3888774341230301E-4</v>
      </c>
      <c r="AC32" s="2">
        <v>5.3245631015335195E-4</v>
      </c>
      <c r="AD32">
        <v>301.27055039562902</v>
      </c>
      <c r="AE32">
        <v>301.2386108</v>
      </c>
      <c r="AF32">
        <v>4.9175400881778797E-3</v>
      </c>
      <c r="AG32">
        <v>4.2268924950487098E-3</v>
      </c>
      <c r="AH32" s="7">
        <v>0.32146937106183399</v>
      </c>
      <c r="AI32" s="7">
        <v>0.31963586144697098</v>
      </c>
    </row>
    <row r="33" spans="1:35" x14ac:dyDescent="0.25">
      <c r="A33">
        <v>11</v>
      </c>
      <c r="B33" s="1">
        <v>45824</v>
      </c>
      <c r="C33" s="1">
        <v>45830</v>
      </c>
      <c r="D33" s="3">
        <f t="shared" si="0"/>
        <v>-6</v>
      </c>
      <c r="E33" t="s">
        <v>36</v>
      </c>
      <c r="F33" t="s">
        <v>34</v>
      </c>
      <c r="G33">
        <v>10.47</v>
      </c>
      <c r="H33">
        <v>30</v>
      </c>
      <c r="I33" t="s">
        <v>35</v>
      </c>
      <c r="J33">
        <v>2</v>
      </c>
      <c r="K33">
        <v>7.1238830000000002</v>
      </c>
      <c r="L33">
        <v>2.16233769132653E-2</v>
      </c>
      <c r="M33">
        <v>4.3876348852040802E-2</v>
      </c>
      <c r="N33">
        <v>2.7995765306122401E-2</v>
      </c>
      <c r="O33">
        <v>2.9340950255102E-2</v>
      </c>
      <c r="P33">
        <v>1.4033447066326501E-2</v>
      </c>
      <c r="Q33">
        <v>9.0672066326530597E-3</v>
      </c>
      <c r="R33">
        <v>2.2557500000000001E-2</v>
      </c>
      <c r="S33">
        <v>4.3924999999999902E-2</v>
      </c>
      <c r="T33">
        <v>2.792E-2</v>
      </c>
      <c r="U33">
        <v>2.8799999999999899E-2</v>
      </c>
      <c r="V33">
        <v>1.3097499999999899E-2</v>
      </c>
      <c r="W33">
        <v>8.4224999999999994E-3</v>
      </c>
      <c r="X33">
        <v>1.6225E-3</v>
      </c>
      <c r="Y33">
        <v>1.9937499999999999E-3</v>
      </c>
      <c r="Z33">
        <v>1.9524999999999701E-3</v>
      </c>
      <c r="AA33">
        <v>1.44374999999998E-3</v>
      </c>
      <c r="AB33">
        <v>1.69125E-3</v>
      </c>
      <c r="AC33">
        <v>1.4025000000000001E-3</v>
      </c>
      <c r="AD33">
        <v>302.49039086948898</v>
      </c>
      <c r="AE33">
        <v>302.475934039999</v>
      </c>
      <c r="AF33">
        <v>2.40294884773063E-2</v>
      </c>
      <c r="AG33">
        <v>1.62028743182452E-2</v>
      </c>
      <c r="AH33" s="7">
        <v>0.51663696570620399</v>
      </c>
      <c r="AI33" s="7">
        <v>0.51621596505900902</v>
      </c>
    </row>
    <row r="34" spans="1:35" x14ac:dyDescent="0.25">
      <c r="A34">
        <v>1</v>
      </c>
      <c r="B34" s="1">
        <v>45838</v>
      </c>
      <c r="C34" s="1">
        <v>45830</v>
      </c>
      <c r="D34" s="3">
        <f t="shared" si="0"/>
        <v>8</v>
      </c>
      <c r="E34" t="s">
        <v>36</v>
      </c>
      <c r="F34" t="s">
        <v>34</v>
      </c>
      <c r="G34">
        <v>10.47</v>
      </c>
      <c r="H34">
        <v>30</v>
      </c>
      <c r="I34" t="s">
        <v>35</v>
      </c>
      <c r="J34">
        <v>3</v>
      </c>
      <c r="K34">
        <v>10.845002000000001</v>
      </c>
      <c r="L34">
        <v>2.0981229351969499E-2</v>
      </c>
      <c r="M34">
        <v>6.9589768106734395E-2</v>
      </c>
      <c r="N34">
        <v>4.0186677255400198E-2</v>
      </c>
      <c r="O34">
        <v>3.7342401524777601E-2</v>
      </c>
      <c r="P34">
        <v>3.0103541931384901E-2</v>
      </c>
      <c r="Q34">
        <v>2.40686372299872E-2</v>
      </c>
      <c r="R34">
        <v>2.14574999999999E-2</v>
      </c>
      <c r="S34">
        <v>6.9087499999999996E-2</v>
      </c>
      <c r="T34">
        <v>3.9579999999999997E-2</v>
      </c>
      <c r="U34">
        <v>3.6499999999999998E-2</v>
      </c>
      <c r="V34">
        <v>2.9624999999999901E-2</v>
      </c>
      <c r="W34">
        <v>2.44824999999999E-2</v>
      </c>
      <c r="X34">
        <v>1.9943768171759402E-3</v>
      </c>
      <c r="Y34">
        <v>1.3702863650428799E-3</v>
      </c>
      <c r="Z34">
        <v>1.5227155019897399E-3</v>
      </c>
      <c r="AA34">
        <v>1.3409050633392901E-3</v>
      </c>
      <c r="AB34" s="2">
        <v>7.9396246062948296E-4</v>
      </c>
      <c r="AC34" s="2">
        <v>9.2932098867937803E-4</v>
      </c>
      <c r="AD34">
        <v>301.41085816111797</v>
      </c>
      <c r="AE34">
        <v>301.40951180000002</v>
      </c>
      <c r="AF34">
        <v>-3.6659755301658797E-2</v>
      </c>
      <c r="AG34">
        <v>-3.8989058406533897E-2</v>
      </c>
      <c r="AH34" s="7">
        <v>0.39612503265080301</v>
      </c>
      <c r="AI34" s="7">
        <v>0.39369131980864103</v>
      </c>
    </row>
    <row r="35" spans="1:35" x14ac:dyDescent="0.25">
      <c r="A35">
        <v>2</v>
      </c>
      <c r="B35" s="1">
        <v>45838</v>
      </c>
      <c r="C35" s="1">
        <v>45830</v>
      </c>
      <c r="D35" s="3">
        <f t="shared" si="0"/>
        <v>8</v>
      </c>
      <c r="E35" t="s">
        <v>36</v>
      </c>
      <c r="F35" t="s">
        <v>34</v>
      </c>
      <c r="G35">
        <v>10.47</v>
      </c>
      <c r="H35">
        <v>30</v>
      </c>
      <c r="I35" t="s">
        <v>35</v>
      </c>
      <c r="J35">
        <v>2</v>
      </c>
      <c r="K35">
        <v>8.5457740000000015</v>
      </c>
      <c r="L35">
        <v>1.9697745535714201E-2</v>
      </c>
      <c r="M35">
        <v>6.3837946428571393E-2</v>
      </c>
      <c r="N35">
        <v>3.4843054846938698E-2</v>
      </c>
      <c r="O35">
        <v>2.9817745535714198E-2</v>
      </c>
      <c r="P35">
        <v>2.20363329081632E-2</v>
      </c>
      <c r="Q35">
        <v>1.7656151147959102E-2</v>
      </c>
      <c r="R35">
        <v>1.92574999999999E-2</v>
      </c>
      <c r="S35">
        <v>6.3917500000000002E-2</v>
      </c>
      <c r="T35">
        <v>3.4987499999999998E-2</v>
      </c>
      <c r="U35">
        <v>2.97349999999999E-2</v>
      </c>
      <c r="V35">
        <v>2.18424999999999E-2</v>
      </c>
      <c r="W35">
        <v>1.74425E-2</v>
      </c>
      <c r="X35">
        <v>1.25124999999999E-3</v>
      </c>
      <c r="Y35" s="2">
        <v>3.0250000000009902E-4</v>
      </c>
      <c r="Z35" s="2">
        <v>2.47500000000309E-4</v>
      </c>
      <c r="AA35" s="2">
        <v>3.71249999999953E-4</v>
      </c>
      <c r="AB35" s="2">
        <v>4.1249999999999002E-4</v>
      </c>
      <c r="AC35" s="2">
        <v>3.5749999999995898E-4</v>
      </c>
      <c r="AD35">
        <v>301.21646778522899</v>
      </c>
      <c r="AE35">
        <v>301.20101258</v>
      </c>
      <c r="AF35">
        <v>-7.7717078480097596E-2</v>
      </c>
      <c r="AG35">
        <v>-7.66384569966541E-2</v>
      </c>
      <c r="AH35" s="7">
        <v>0.48682752151433201</v>
      </c>
      <c r="AI35" s="7">
        <v>0.49207917914135402</v>
      </c>
    </row>
    <row r="36" spans="1:35" x14ac:dyDescent="0.25">
      <c r="A36">
        <v>3</v>
      </c>
      <c r="B36" s="1">
        <v>45838</v>
      </c>
      <c r="C36" s="1">
        <v>45830</v>
      </c>
      <c r="D36" s="3">
        <f t="shared" si="0"/>
        <v>8</v>
      </c>
      <c r="E36" t="s">
        <v>36</v>
      </c>
      <c r="F36" t="s">
        <v>34</v>
      </c>
      <c r="G36">
        <v>10.47</v>
      </c>
      <c r="H36">
        <v>30</v>
      </c>
      <c r="I36" t="s">
        <v>35</v>
      </c>
      <c r="J36">
        <v>3</v>
      </c>
      <c r="K36">
        <v>9.2415930000000017</v>
      </c>
      <c r="L36">
        <v>2.3970342767295601E-2</v>
      </c>
      <c r="M36">
        <v>7.0560808176100595E-2</v>
      </c>
      <c r="N36">
        <v>3.9776374213836403E-2</v>
      </c>
      <c r="O36">
        <v>3.2430380503144597E-2</v>
      </c>
      <c r="P36">
        <v>2.6577100628930799E-2</v>
      </c>
      <c r="Q36">
        <v>2.1904245283018799E-2</v>
      </c>
      <c r="R36">
        <v>2.4289999999999999E-2</v>
      </c>
      <c r="S36">
        <v>6.9610000000000005E-2</v>
      </c>
      <c r="T36">
        <v>3.9140000000000001E-2</v>
      </c>
      <c r="U36">
        <v>3.2237500000000002E-2</v>
      </c>
      <c r="V36">
        <v>2.5967500000000001E-2</v>
      </c>
      <c r="W36">
        <v>2.1155E-2</v>
      </c>
      <c r="X36">
        <v>3.5853738376291598E-3</v>
      </c>
      <c r="Y36">
        <v>2.1962154948912301E-3</v>
      </c>
      <c r="Z36">
        <v>2.4132196681336199E-3</v>
      </c>
      <c r="AA36">
        <v>2.3860465325628898E-3</v>
      </c>
      <c r="AB36">
        <v>1.1762658665833E-3</v>
      </c>
      <c r="AC36">
        <v>1.0379808122824999E-3</v>
      </c>
      <c r="AD36">
        <v>300.831642851396</v>
      </c>
      <c r="AE36">
        <v>300.83870245999998</v>
      </c>
      <c r="AF36">
        <v>-0.10206013025244801</v>
      </c>
      <c r="AG36">
        <v>-9.8019435757759094E-2</v>
      </c>
      <c r="AH36" s="7">
        <v>0.45322999098789601</v>
      </c>
      <c r="AI36" s="7">
        <v>0.45644027462457898</v>
      </c>
    </row>
    <row r="37" spans="1:35" x14ac:dyDescent="0.25">
      <c r="A37">
        <v>4</v>
      </c>
      <c r="B37" s="1">
        <v>45838</v>
      </c>
      <c r="C37" s="1">
        <v>45830</v>
      </c>
      <c r="D37" s="3">
        <f t="shared" si="0"/>
        <v>8</v>
      </c>
      <c r="E37" t="s">
        <v>36</v>
      </c>
      <c r="F37" t="s">
        <v>34</v>
      </c>
      <c r="G37">
        <v>10.47</v>
      </c>
      <c r="H37">
        <v>30</v>
      </c>
      <c r="I37" t="s">
        <v>35</v>
      </c>
      <c r="J37">
        <v>3</v>
      </c>
      <c r="K37">
        <v>10.391207000000001</v>
      </c>
      <c r="L37">
        <v>1.08116834170854E-2</v>
      </c>
      <c r="M37">
        <v>5.8012531407035099E-2</v>
      </c>
      <c r="N37">
        <v>3.1041906407035101E-2</v>
      </c>
      <c r="O37">
        <v>2.5894915201004998E-2</v>
      </c>
      <c r="P37">
        <v>2.4056077261306499E-2</v>
      </c>
      <c r="Q37">
        <v>2.0964745603014999E-2</v>
      </c>
      <c r="R37">
        <v>1.0869999999999901E-2</v>
      </c>
      <c r="S37">
        <v>5.77024999999999E-2</v>
      </c>
      <c r="T37">
        <v>3.1329999999999997E-2</v>
      </c>
      <c r="U37">
        <v>2.5967500000000001E-2</v>
      </c>
      <c r="V37">
        <v>2.4289999999999999E-2</v>
      </c>
      <c r="W37">
        <v>2.1237499999999899E-2</v>
      </c>
      <c r="X37" s="2">
        <v>8.5294343305988602E-4</v>
      </c>
      <c r="Y37" s="2">
        <v>3.4298526039772901E-5</v>
      </c>
      <c r="Z37" s="2">
        <v>5.5380627378978696E-4</v>
      </c>
      <c r="AA37" s="2">
        <v>4.8017936463599898E-4</v>
      </c>
      <c r="AB37" s="2">
        <v>9.5298070401357896E-4</v>
      </c>
      <c r="AC37" s="2">
        <v>7.89504943338231E-4</v>
      </c>
      <c r="AD37">
        <v>300.39811281160797</v>
      </c>
      <c r="AE37">
        <v>300.38410579999999</v>
      </c>
      <c r="AF37">
        <v>-9.0450615619941596E-2</v>
      </c>
      <c r="AG37">
        <v>-9.0794280817284204E-2</v>
      </c>
      <c r="AH37" s="7">
        <v>0.41397991057542199</v>
      </c>
      <c r="AI37" s="7">
        <v>0.40710907704042698</v>
      </c>
    </row>
    <row r="38" spans="1:35" x14ac:dyDescent="0.25">
      <c r="A38">
        <v>5</v>
      </c>
      <c r="B38" s="1">
        <v>45838</v>
      </c>
      <c r="C38" s="1">
        <v>45830</v>
      </c>
      <c r="D38" s="3">
        <f t="shared" si="0"/>
        <v>8</v>
      </c>
      <c r="E38" t="s">
        <v>36</v>
      </c>
      <c r="F38" t="s">
        <v>34</v>
      </c>
      <c r="G38">
        <v>10.47</v>
      </c>
      <c r="H38">
        <v>30</v>
      </c>
      <c r="I38" t="s">
        <v>35</v>
      </c>
      <c r="J38">
        <v>3</v>
      </c>
      <c r="K38">
        <v>10.209689000000001</v>
      </c>
      <c r="L38">
        <v>2.7610955696202501E-2</v>
      </c>
      <c r="M38">
        <v>6.1778313291139197E-2</v>
      </c>
      <c r="N38">
        <v>4.1132810126582202E-2</v>
      </c>
      <c r="O38">
        <v>3.6992284810126501E-2</v>
      </c>
      <c r="P38">
        <v>2.6112449367088598E-2</v>
      </c>
      <c r="Q38">
        <v>2.0259405063291099E-2</v>
      </c>
      <c r="R38">
        <v>2.7782499999999901E-2</v>
      </c>
      <c r="S38">
        <v>6.1854999999999903E-2</v>
      </c>
      <c r="T38">
        <v>4.0872499999999999E-2</v>
      </c>
      <c r="U38">
        <v>3.6637499999999899E-2</v>
      </c>
      <c r="V38">
        <v>2.6187499999999999E-2</v>
      </c>
      <c r="W38">
        <v>2.0274999999999901E-2</v>
      </c>
      <c r="X38">
        <v>2.1807035689326202E-3</v>
      </c>
      <c r="Y38">
        <v>1.5233775522393799E-3</v>
      </c>
      <c r="Z38">
        <v>1.34447222193522E-3</v>
      </c>
      <c r="AA38">
        <v>1.3084914978706401E-3</v>
      </c>
      <c r="AB38" s="2">
        <v>8.6293346595594004E-4</v>
      </c>
      <c r="AC38" s="2">
        <v>7.0898107638122504E-4</v>
      </c>
      <c r="AD38">
        <v>301.66824293417699</v>
      </c>
      <c r="AE38">
        <v>301.61801101999998</v>
      </c>
      <c r="AF38">
        <v>-5.3049448057084399E-2</v>
      </c>
      <c r="AG38">
        <v>-5.2204733869998902E-2</v>
      </c>
      <c r="AH38" s="7">
        <v>0.405935119579312</v>
      </c>
      <c r="AI38" s="7">
        <v>0.40511684697731198</v>
      </c>
    </row>
    <row r="39" spans="1:35" x14ac:dyDescent="0.25">
      <c r="A39">
        <v>6</v>
      </c>
      <c r="B39" s="1">
        <v>45838</v>
      </c>
      <c r="C39" s="1">
        <v>45830</v>
      </c>
      <c r="D39" s="3">
        <f t="shared" si="0"/>
        <v>8</v>
      </c>
      <c r="E39" t="s">
        <v>36</v>
      </c>
      <c r="F39" t="s">
        <v>34</v>
      </c>
      <c r="G39">
        <v>10.47</v>
      </c>
      <c r="H39">
        <v>30</v>
      </c>
      <c r="I39" t="s">
        <v>35</v>
      </c>
      <c r="J39">
        <v>3</v>
      </c>
      <c r="K39">
        <v>8.1827380000000005</v>
      </c>
      <c r="L39">
        <v>1.9082471410419299E-2</v>
      </c>
      <c r="M39">
        <v>5.5437436467598397E-2</v>
      </c>
      <c r="N39">
        <v>2.9121928208386199E-2</v>
      </c>
      <c r="O39">
        <v>2.2297420584498E-2</v>
      </c>
      <c r="P39">
        <v>1.37123538754764E-2</v>
      </c>
      <c r="Q39">
        <v>1.0704825285895799E-2</v>
      </c>
      <c r="R39">
        <v>1.9889999999999901E-2</v>
      </c>
      <c r="S39">
        <v>5.4622499999999997E-2</v>
      </c>
      <c r="T39">
        <v>2.8442499999999999E-2</v>
      </c>
      <c r="U39">
        <v>2.198E-2</v>
      </c>
      <c r="V39">
        <v>1.30149999999999E-2</v>
      </c>
      <c r="W39">
        <v>1.0264999999999899E-2</v>
      </c>
      <c r="X39">
        <v>3.2205149691728898E-3</v>
      </c>
      <c r="Y39">
        <v>3.1461837553172301E-3</v>
      </c>
      <c r="Z39">
        <v>2.95650225021994E-3</v>
      </c>
      <c r="AA39">
        <v>3.0646841417818001E-3</v>
      </c>
      <c r="AB39">
        <v>2.3577764360138598E-3</v>
      </c>
      <c r="AC39">
        <v>1.94406825726075E-3</v>
      </c>
      <c r="AD39">
        <v>301.85425396523499</v>
      </c>
      <c r="AE39">
        <v>301.82992825999997</v>
      </c>
      <c r="AF39">
        <v>-0.136774635336326</v>
      </c>
      <c r="AG39">
        <v>-0.12578303669086199</v>
      </c>
      <c r="AH39" s="7">
        <v>0.60845870597854201</v>
      </c>
      <c r="AI39" s="7">
        <v>0.60992057545331901</v>
      </c>
    </row>
    <row r="40" spans="1:35" x14ac:dyDescent="0.25">
      <c r="A40">
        <v>7</v>
      </c>
      <c r="B40" s="1">
        <v>45838</v>
      </c>
      <c r="C40" s="1">
        <v>45830</v>
      </c>
      <c r="D40" s="3">
        <f t="shared" si="0"/>
        <v>8</v>
      </c>
      <c r="E40" t="s">
        <v>36</v>
      </c>
      <c r="F40" t="s">
        <v>34</v>
      </c>
      <c r="G40">
        <v>10.47</v>
      </c>
      <c r="H40">
        <v>30</v>
      </c>
      <c r="I40" t="s">
        <v>35</v>
      </c>
      <c r="J40">
        <v>3</v>
      </c>
      <c r="K40">
        <v>7.1541360000000003</v>
      </c>
      <c r="L40">
        <v>2.2467301387137401E-2</v>
      </c>
      <c r="M40">
        <v>4.9415948928120998E-2</v>
      </c>
      <c r="N40">
        <v>2.9046945145018901E-2</v>
      </c>
      <c r="O40">
        <v>2.3826279949558601E-2</v>
      </c>
      <c r="P40">
        <v>1.22740258511979E-2</v>
      </c>
      <c r="Q40">
        <v>8.9451040353089508E-3</v>
      </c>
      <c r="R40">
        <v>2.33549999999999E-2</v>
      </c>
      <c r="S40">
        <v>5.0222500000000003E-2</v>
      </c>
      <c r="T40">
        <v>2.9624999999999901E-2</v>
      </c>
      <c r="U40">
        <v>2.4400000000000002E-2</v>
      </c>
      <c r="V40">
        <v>1.28224999999999E-2</v>
      </c>
      <c r="W40">
        <v>9.4400000000000005E-3</v>
      </c>
      <c r="X40" s="2">
        <v>1.8287442564671999E-4</v>
      </c>
      <c r="Y40" s="2">
        <v>5.1789638603335101E-4</v>
      </c>
      <c r="Z40" s="2">
        <v>9.1602477525925402E-4</v>
      </c>
      <c r="AA40" s="2">
        <v>8.1978909889476696E-4</v>
      </c>
      <c r="AB40" s="2">
        <v>8.2081345153587303E-4</v>
      </c>
      <c r="AC40" s="2">
        <v>7.4097064719191202E-4</v>
      </c>
      <c r="AD40">
        <v>300.90456723127301</v>
      </c>
      <c r="AE40">
        <v>300.88997275999998</v>
      </c>
      <c r="AF40">
        <v>-9.9711527692217403E-2</v>
      </c>
      <c r="AG40">
        <v>-9.6714484035168496E-2</v>
      </c>
      <c r="AH40" s="7">
        <v>0.60439472509622105</v>
      </c>
      <c r="AI40" s="7">
        <v>0.59322706003648196</v>
      </c>
    </row>
    <row r="41" spans="1:35" x14ac:dyDescent="0.25">
      <c r="A41">
        <v>8</v>
      </c>
      <c r="B41" s="1">
        <v>45838</v>
      </c>
      <c r="C41" s="1">
        <v>45830</v>
      </c>
      <c r="D41" s="3">
        <f t="shared" si="0"/>
        <v>8</v>
      </c>
      <c r="E41" t="s">
        <v>36</v>
      </c>
      <c r="F41" t="s">
        <v>34</v>
      </c>
      <c r="G41">
        <v>10.47</v>
      </c>
      <c r="H41">
        <v>30</v>
      </c>
      <c r="I41" t="s">
        <v>35</v>
      </c>
      <c r="J41">
        <v>3</v>
      </c>
      <c r="K41">
        <v>6.3675580000000007</v>
      </c>
      <c r="L41">
        <v>3.4458506944444398E-2</v>
      </c>
      <c r="M41">
        <v>5.9672013888888799E-2</v>
      </c>
      <c r="N41">
        <v>4.1122430555555499E-2</v>
      </c>
      <c r="O41">
        <v>3.7855173611111098E-2</v>
      </c>
      <c r="P41">
        <v>2.3723229166666599E-2</v>
      </c>
      <c r="Q41">
        <v>1.77780208333333E-2</v>
      </c>
      <c r="R41">
        <v>3.4025E-2</v>
      </c>
      <c r="S41">
        <v>5.9984999999999997E-2</v>
      </c>
      <c r="T41">
        <v>4.1724999999999901E-2</v>
      </c>
      <c r="U41">
        <v>3.7764999999999903E-2</v>
      </c>
      <c r="V41">
        <v>2.4262499999999899E-2</v>
      </c>
      <c r="W41">
        <v>1.8405000000000001E-2</v>
      </c>
      <c r="X41">
        <v>1.37138970472367E-3</v>
      </c>
      <c r="Y41">
        <v>2.3607681777100798E-3</v>
      </c>
      <c r="Z41">
        <v>2.5982609034163398E-3</v>
      </c>
      <c r="AA41">
        <v>2.5387860725595199E-3</v>
      </c>
      <c r="AB41">
        <v>2.5887354806717498E-3</v>
      </c>
      <c r="AC41">
        <v>2.1141441662184601E-3</v>
      </c>
      <c r="AD41">
        <v>301.48558863909</v>
      </c>
      <c r="AE41">
        <v>301.43001992000001</v>
      </c>
      <c r="AF41">
        <v>-4.1936440974253503E-2</v>
      </c>
      <c r="AG41">
        <v>-4.5797755980523498E-2</v>
      </c>
      <c r="AH41" s="7">
        <v>0.433998347091887</v>
      </c>
      <c r="AI41" s="7">
        <v>0.43399527600384902</v>
      </c>
    </row>
    <row r="42" spans="1:35" x14ac:dyDescent="0.25">
      <c r="A42">
        <v>9</v>
      </c>
      <c r="B42" s="1">
        <v>45838</v>
      </c>
      <c r="C42" s="1">
        <v>45830</v>
      </c>
      <c r="D42" s="3">
        <f t="shared" si="0"/>
        <v>8</v>
      </c>
      <c r="E42" t="s">
        <v>36</v>
      </c>
      <c r="F42" t="s">
        <v>34</v>
      </c>
      <c r="G42">
        <v>10.47</v>
      </c>
      <c r="H42">
        <v>30</v>
      </c>
      <c r="I42" t="s">
        <v>35</v>
      </c>
      <c r="J42">
        <v>2</v>
      </c>
      <c r="K42">
        <v>11.147532000000002</v>
      </c>
      <c r="L42">
        <v>2.7327493654822298E-2</v>
      </c>
      <c r="M42">
        <v>5.8313083756345099E-2</v>
      </c>
      <c r="N42">
        <v>4.0369194162436499E-2</v>
      </c>
      <c r="O42">
        <v>3.9648017131979699E-2</v>
      </c>
      <c r="P42">
        <v>2.95821446700507E-2</v>
      </c>
      <c r="Q42">
        <v>2.4218562817258801E-2</v>
      </c>
      <c r="R42">
        <v>2.5719999999999899E-2</v>
      </c>
      <c r="S42">
        <v>5.7207500000000001E-2</v>
      </c>
      <c r="T42">
        <v>3.9167499999999897E-2</v>
      </c>
      <c r="U42">
        <v>3.8782499999999998E-2</v>
      </c>
      <c r="V42">
        <v>2.87175E-2</v>
      </c>
      <c r="W42">
        <v>2.4510000000000001E-2</v>
      </c>
      <c r="X42">
        <v>2.5849999999999801E-3</v>
      </c>
      <c r="Y42">
        <v>1.4162500000000401E-3</v>
      </c>
      <c r="Z42">
        <v>1.66374999999996E-3</v>
      </c>
      <c r="AA42" s="2">
        <v>9.3499999999992005E-4</v>
      </c>
      <c r="AB42" s="2">
        <v>5.5000000000004199E-4</v>
      </c>
      <c r="AC42" s="2">
        <v>5.6375000000002701E-4</v>
      </c>
      <c r="AD42">
        <v>300.93783805276598</v>
      </c>
      <c r="AE42">
        <v>301.02327553999999</v>
      </c>
      <c r="AF42">
        <v>-8.7683778303786104E-3</v>
      </c>
      <c r="AG42">
        <v>-4.9390635022449796E-3</v>
      </c>
      <c r="AH42" s="7">
        <v>0.32679038054610399</v>
      </c>
      <c r="AI42" s="7">
        <v>0.33156822810590603</v>
      </c>
    </row>
    <row r="43" spans="1:35" x14ac:dyDescent="0.25">
      <c r="A43">
        <v>10</v>
      </c>
      <c r="B43" s="1">
        <v>45838</v>
      </c>
      <c r="C43" s="1">
        <v>45830</v>
      </c>
      <c r="D43" s="3">
        <f t="shared" si="0"/>
        <v>8</v>
      </c>
      <c r="E43" t="s">
        <v>36</v>
      </c>
      <c r="F43" t="s">
        <v>34</v>
      </c>
      <c r="G43">
        <v>10.47</v>
      </c>
      <c r="H43">
        <v>30</v>
      </c>
      <c r="I43" t="s">
        <v>35</v>
      </c>
      <c r="J43">
        <v>3</v>
      </c>
      <c r="K43">
        <v>8.1827380000000005</v>
      </c>
      <c r="L43">
        <v>2.91121143958868E-2</v>
      </c>
      <c r="M43">
        <v>5.9043071979434397E-2</v>
      </c>
      <c r="N43">
        <v>4.2556857326478098E-2</v>
      </c>
      <c r="O43">
        <v>4.2976285347043598E-2</v>
      </c>
      <c r="P43">
        <v>3.0317483933161901E-2</v>
      </c>
      <c r="Q43">
        <v>2.32273971722365E-2</v>
      </c>
      <c r="R43">
        <v>2.86349999999999E-2</v>
      </c>
      <c r="S43">
        <v>5.8692499999999898E-2</v>
      </c>
      <c r="T43">
        <v>4.2110000000000002E-2</v>
      </c>
      <c r="U43">
        <v>4.2852499999999898E-2</v>
      </c>
      <c r="V43">
        <v>3.0175E-2</v>
      </c>
      <c r="W43">
        <v>2.30249999999999E-2</v>
      </c>
      <c r="X43" s="2">
        <v>7.2271478929571695E-4</v>
      </c>
      <c r="Y43" s="2">
        <v>1.81490740504892E-4</v>
      </c>
      <c r="Z43" s="2">
        <v>2.14194226502167E-4</v>
      </c>
      <c r="AA43" s="2">
        <v>4.6794913066353398E-4</v>
      </c>
      <c r="AB43" s="2">
        <v>5.3888774341230301E-4</v>
      </c>
      <c r="AC43" s="2">
        <v>5.3245631015335195E-4</v>
      </c>
      <c r="AD43">
        <v>301.27055039562902</v>
      </c>
      <c r="AE43">
        <v>301.2386108</v>
      </c>
      <c r="AF43">
        <v>4.9175400881778797E-3</v>
      </c>
      <c r="AG43">
        <v>4.2268924950487098E-3</v>
      </c>
      <c r="AH43" s="7">
        <v>0.32146937106183399</v>
      </c>
      <c r="AI43" s="7">
        <v>0.31963586144697098</v>
      </c>
    </row>
    <row r="44" spans="1:35" x14ac:dyDescent="0.25">
      <c r="A44">
        <v>11</v>
      </c>
      <c r="B44" s="1">
        <v>45838</v>
      </c>
      <c r="C44" s="1">
        <v>45830</v>
      </c>
      <c r="D44" s="3">
        <f t="shared" si="0"/>
        <v>8</v>
      </c>
      <c r="E44" t="s">
        <v>36</v>
      </c>
      <c r="F44" t="s">
        <v>34</v>
      </c>
      <c r="G44">
        <v>10.47</v>
      </c>
      <c r="H44">
        <v>30</v>
      </c>
      <c r="I44" t="s">
        <v>35</v>
      </c>
      <c r="J44">
        <v>2</v>
      </c>
      <c r="K44">
        <v>9.9374120000000019</v>
      </c>
      <c r="L44">
        <v>2.16233769132653E-2</v>
      </c>
      <c r="M44">
        <v>4.3876348852040802E-2</v>
      </c>
      <c r="N44">
        <v>2.7995765306122401E-2</v>
      </c>
      <c r="O44">
        <v>2.9340950255102E-2</v>
      </c>
      <c r="P44">
        <v>1.4033447066326501E-2</v>
      </c>
      <c r="Q44">
        <v>9.0672066326530597E-3</v>
      </c>
      <c r="R44">
        <v>2.2557500000000001E-2</v>
      </c>
      <c r="S44">
        <v>4.3924999999999902E-2</v>
      </c>
      <c r="T44">
        <v>2.792E-2</v>
      </c>
      <c r="U44">
        <v>2.8799999999999899E-2</v>
      </c>
      <c r="V44">
        <v>1.3097499999999899E-2</v>
      </c>
      <c r="W44">
        <v>8.4224999999999994E-3</v>
      </c>
      <c r="X44">
        <v>1.6225E-3</v>
      </c>
      <c r="Y44">
        <v>1.9937499999999999E-3</v>
      </c>
      <c r="Z44">
        <v>1.9524999999999701E-3</v>
      </c>
      <c r="AA44">
        <v>1.44374999999998E-3</v>
      </c>
      <c r="AB44">
        <v>1.69125E-3</v>
      </c>
      <c r="AC44">
        <v>1.4025000000000001E-3</v>
      </c>
      <c r="AD44">
        <v>302.49039086948898</v>
      </c>
      <c r="AE44">
        <v>302.475934039999</v>
      </c>
      <c r="AF44">
        <v>2.40294884773063E-2</v>
      </c>
      <c r="AG44">
        <v>1.62028743182452E-2</v>
      </c>
      <c r="AH44" s="7">
        <v>0.51663696570620399</v>
      </c>
      <c r="AI44" s="7">
        <v>0.51621596505900902</v>
      </c>
    </row>
    <row r="45" spans="1:35" x14ac:dyDescent="0.25">
      <c r="A45">
        <v>5</v>
      </c>
      <c r="B45" s="1">
        <v>45854</v>
      </c>
      <c r="C45" s="1">
        <v>45862</v>
      </c>
      <c r="D45" s="3">
        <f t="shared" si="0"/>
        <v>-8</v>
      </c>
      <c r="E45" t="s">
        <v>36</v>
      </c>
      <c r="F45" t="s">
        <v>34</v>
      </c>
      <c r="G45">
        <v>11.83</v>
      </c>
      <c r="H45">
        <v>30</v>
      </c>
      <c r="I45" t="s">
        <v>35</v>
      </c>
      <c r="J45">
        <v>3</v>
      </c>
      <c r="K45">
        <v>6.5188230000000003</v>
      </c>
      <c r="L45">
        <v>8.2749050632911301E-3</v>
      </c>
      <c r="M45">
        <v>4.8642572784810101E-2</v>
      </c>
      <c r="N45">
        <v>2.1680702531645502E-2</v>
      </c>
      <c r="O45">
        <v>1.1433227848101199E-2</v>
      </c>
      <c r="P45">
        <v>7.1097753164556902E-3</v>
      </c>
      <c r="Q45">
        <v>6.59340189873417E-3</v>
      </c>
      <c r="R45">
        <v>8.4774999999999903E-3</v>
      </c>
      <c r="S45">
        <v>4.8544999999999998E-2</v>
      </c>
      <c r="T45">
        <v>2.2309999999999899E-2</v>
      </c>
      <c r="U45">
        <v>1.1997499999999901E-2</v>
      </c>
      <c r="V45">
        <v>7.2675000000000101E-3</v>
      </c>
      <c r="W45">
        <v>7.18499999999999E-3</v>
      </c>
      <c r="X45">
        <v>1.8047395164461301E-3</v>
      </c>
      <c r="Y45" s="2">
        <v>6.6393502861553403E-4</v>
      </c>
      <c r="Z45">
        <v>1.1616015046286301E-3</v>
      </c>
      <c r="AA45">
        <v>1.12813329098214E-3</v>
      </c>
      <c r="AB45" s="2">
        <v>4.9821486886237698E-4</v>
      </c>
      <c r="AC45" s="2">
        <v>5.6014259097324497E-4</v>
      </c>
      <c r="AD45">
        <v>303.685004532405</v>
      </c>
      <c r="AE45">
        <v>303.665404999999</v>
      </c>
      <c r="AF45">
        <v>-0.31290515845479899</v>
      </c>
      <c r="AG45">
        <v>-0.30348536704616802</v>
      </c>
      <c r="AH45" s="7">
        <v>0.74615651529593296</v>
      </c>
      <c r="AI45" s="7">
        <v>0.73527001183863006</v>
      </c>
    </row>
    <row r="46" spans="1:35" x14ac:dyDescent="0.25">
      <c r="A46">
        <v>6</v>
      </c>
      <c r="B46" s="1">
        <v>45854</v>
      </c>
      <c r="C46" s="1">
        <v>45862</v>
      </c>
      <c r="D46" s="3">
        <f t="shared" si="0"/>
        <v>-8</v>
      </c>
      <c r="E46" t="s">
        <v>36</v>
      </c>
      <c r="F46" t="s">
        <v>34</v>
      </c>
      <c r="G46">
        <v>11.83</v>
      </c>
      <c r="H46">
        <v>30</v>
      </c>
      <c r="I46" t="s">
        <v>35</v>
      </c>
      <c r="J46">
        <v>3</v>
      </c>
      <c r="K46">
        <v>6.9121120000000005</v>
      </c>
      <c r="L46">
        <v>1.4345378017789E-2</v>
      </c>
      <c r="M46">
        <v>4.7692045743328998E-2</v>
      </c>
      <c r="N46">
        <v>2.2009072426937702E-2</v>
      </c>
      <c r="O46">
        <v>1.12456003811944E-2</v>
      </c>
      <c r="P46">
        <v>5.7822903430749598E-3</v>
      </c>
      <c r="Q46">
        <v>5.4183608640406503E-3</v>
      </c>
      <c r="R46">
        <v>1.52424999999999E-2</v>
      </c>
      <c r="S46">
        <v>4.7747499999999998E-2</v>
      </c>
      <c r="T46">
        <v>2.2062499999999902E-2</v>
      </c>
      <c r="U46">
        <v>1.1254999999999901E-2</v>
      </c>
      <c r="V46">
        <v>5.6174999999999897E-3</v>
      </c>
      <c r="W46">
        <v>5.1774999999999998E-3</v>
      </c>
      <c r="X46" s="2">
        <v>8.8883584911200796E-4</v>
      </c>
      <c r="Y46" s="2">
        <v>4.5075399794852701E-4</v>
      </c>
      <c r="Z46" s="2">
        <v>2.1340818999191199E-4</v>
      </c>
      <c r="AA46" s="2">
        <v>2.4630886211332202E-4</v>
      </c>
      <c r="AB46" s="2">
        <v>3.70995282988891E-4</v>
      </c>
      <c r="AC46" s="2">
        <v>4.6687049120238701E-4</v>
      </c>
      <c r="AD46">
        <v>303.839076898043</v>
      </c>
      <c r="AE46">
        <v>303.78161767999899</v>
      </c>
      <c r="AF46">
        <v>-0.32441125338326499</v>
      </c>
      <c r="AG46">
        <v>-0.31893588402331402</v>
      </c>
      <c r="AH46" s="7">
        <v>0.78403584459400899</v>
      </c>
      <c r="AI46" s="7">
        <v>0.78946875292794905</v>
      </c>
    </row>
    <row r="47" spans="1:35" x14ac:dyDescent="0.25">
      <c r="A47">
        <v>8</v>
      </c>
      <c r="B47" s="1">
        <v>45854</v>
      </c>
      <c r="C47" s="1">
        <v>45862</v>
      </c>
      <c r="D47" s="3">
        <f t="shared" si="0"/>
        <v>-8</v>
      </c>
      <c r="E47" t="s">
        <v>36</v>
      </c>
      <c r="F47" t="s">
        <v>34</v>
      </c>
      <c r="G47">
        <v>11.83</v>
      </c>
      <c r="H47">
        <v>30</v>
      </c>
      <c r="I47" t="s">
        <v>35</v>
      </c>
      <c r="J47">
        <v>3</v>
      </c>
      <c r="K47">
        <v>8.4852680000000014</v>
      </c>
      <c r="L47" s="2">
        <v>9.0065972222221405E-4</v>
      </c>
      <c r="M47">
        <v>3.7040416666666597E-2</v>
      </c>
      <c r="N47">
        <v>1.45339930555555E-2</v>
      </c>
      <c r="O47">
        <v>1.41648958333333E-2</v>
      </c>
      <c r="P47">
        <v>7.5700694444444296E-3</v>
      </c>
      <c r="Q47">
        <v>6.7757291666666599E-3</v>
      </c>
      <c r="R47" s="2">
        <v>2.8249999999999098E-4</v>
      </c>
      <c r="S47">
        <v>3.6362499999999902E-2</v>
      </c>
      <c r="T47">
        <v>1.4224999999999899E-2</v>
      </c>
      <c r="U47">
        <v>1.41699999999999E-2</v>
      </c>
      <c r="V47">
        <v>7.04749999999998E-3</v>
      </c>
      <c r="W47">
        <v>6.5250000000000004E-3</v>
      </c>
      <c r="X47">
        <v>4.2261216459854303E-3</v>
      </c>
      <c r="Y47">
        <v>1.9883005026626898E-3</v>
      </c>
      <c r="Z47">
        <v>2.40089682317994E-3</v>
      </c>
      <c r="AA47">
        <v>2.2606940306021E-3</v>
      </c>
      <c r="AB47" s="2">
        <v>4.9550899756378296E-4</v>
      </c>
      <c r="AC47" s="2">
        <v>3.7099528298887799E-4</v>
      </c>
      <c r="AD47">
        <v>302.92166197386302</v>
      </c>
      <c r="AE47">
        <v>302.90318653999998</v>
      </c>
      <c r="AF47">
        <v>-1.2939124151588601E-2</v>
      </c>
      <c r="AG47">
        <v>-1.93696073252331E-3</v>
      </c>
      <c r="AH47" s="7">
        <v>0.66390119668215297</v>
      </c>
      <c r="AI47" s="7">
        <v>0.67530522920986003</v>
      </c>
    </row>
    <row r="48" spans="1:35" x14ac:dyDescent="0.25">
      <c r="A48">
        <v>11</v>
      </c>
      <c r="B48" s="1">
        <v>45854</v>
      </c>
      <c r="C48" s="1">
        <v>45862</v>
      </c>
      <c r="D48" s="3">
        <f t="shared" si="0"/>
        <v>-8</v>
      </c>
      <c r="E48" t="s">
        <v>36</v>
      </c>
      <c r="F48" t="s">
        <v>34</v>
      </c>
      <c r="G48">
        <v>11.83</v>
      </c>
      <c r="H48">
        <v>30</v>
      </c>
      <c r="I48" t="s">
        <v>35</v>
      </c>
      <c r="J48">
        <v>0</v>
      </c>
      <c r="K48">
        <v>14.414856</v>
      </c>
      <c r="L48">
        <v>1.30424999999999E-2</v>
      </c>
      <c r="M48">
        <v>3.5812499999999997E-2</v>
      </c>
      <c r="N48">
        <v>1.9504999999999901E-2</v>
      </c>
      <c r="O48">
        <v>1.6837499999999998E-2</v>
      </c>
      <c r="P48">
        <v>7.5699999999999899E-3</v>
      </c>
      <c r="Q48">
        <v>6.0850000000000001E-3</v>
      </c>
      <c r="R48">
        <v>1.30424999999999E-2</v>
      </c>
      <c r="S48">
        <v>3.5812499999999997E-2</v>
      </c>
      <c r="T48">
        <v>1.9504999999999901E-2</v>
      </c>
      <c r="U48">
        <v>1.6837499999999998E-2</v>
      </c>
      <c r="V48">
        <v>7.5699999999999899E-3</v>
      </c>
      <c r="W48">
        <v>6.0850000000000001E-3</v>
      </c>
      <c r="AD48">
        <v>304.82753179999997</v>
      </c>
      <c r="AE48">
        <v>304.82753179999997</v>
      </c>
      <c r="AF48">
        <v>-7.3398913118249601E-2</v>
      </c>
      <c r="AG48">
        <v>-7.3398913118249601E-2</v>
      </c>
      <c r="AH48" s="7">
        <v>0.63926139483848499</v>
      </c>
      <c r="AI48" s="7">
        <v>0.64215528867767002</v>
      </c>
    </row>
    <row r="49" spans="1:35" x14ac:dyDescent="0.25">
      <c r="A49">
        <v>1</v>
      </c>
      <c r="B49" s="1">
        <v>45876</v>
      </c>
      <c r="C49" s="1">
        <v>45878</v>
      </c>
      <c r="D49" s="3">
        <f t="shared" si="0"/>
        <v>-2</v>
      </c>
      <c r="E49" t="s">
        <v>36</v>
      </c>
      <c r="F49" t="s">
        <v>34</v>
      </c>
      <c r="G49">
        <v>1.91</v>
      </c>
      <c r="H49">
        <v>30</v>
      </c>
      <c r="I49" t="s">
        <v>35</v>
      </c>
      <c r="J49">
        <v>3</v>
      </c>
      <c r="K49">
        <v>6.1557870000000001</v>
      </c>
      <c r="L49">
        <v>1.6774812579415498E-2</v>
      </c>
      <c r="M49">
        <v>4.8272445997458703E-2</v>
      </c>
      <c r="N49">
        <v>2.5326753494282001E-2</v>
      </c>
      <c r="O49">
        <v>2.9671159466327798E-2</v>
      </c>
      <c r="P49">
        <v>8.4522363405336604E-3</v>
      </c>
      <c r="Q49">
        <v>4.39663278271917E-3</v>
      </c>
      <c r="R49">
        <v>1.6892500000000001E-2</v>
      </c>
      <c r="S49">
        <v>4.8407499999999902E-2</v>
      </c>
      <c r="T49">
        <v>2.5114999999999998E-2</v>
      </c>
      <c r="U49">
        <v>2.9597499999999999E-2</v>
      </c>
      <c r="V49">
        <v>8.3399999999999794E-3</v>
      </c>
      <c r="W49">
        <v>4.2424999999999798E-3</v>
      </c>
      <c r="X49">
        <v>1.3939965526818701E-3</v>
      </c>
      <c r="Y49" s="2">
        <v>6.62033903126327E-4</v>
      </c>
      <c r="Z49" s="2">
        <v>5.1447789068152197E-4</v>
      </c>
      <c r="AA49" s="2">
        <v>3.0650131411720998E-4</v>
      </c>
      <c r="AB49" s="2">
        <v>2.40089682317999E-4</v>
      </c>
      <c r="AC49" s="2">
        <v>3.3530458789981599E-4</v>
      </c>
      <c r="AD49">
        <v>301.63765486302401</v>
      </c>
      <c r="AE49">
        <v>301.64193716</v>
      </c>
      <c r="AF49">
        <v>7.9025035480149594E-2</v>
      </c>
      <c r="AG49">
        <v>8.1928261366232505E-2</v>
      </c>
      <c r="AH49" s="7">
        <v>0.70206497667395895</v>
      </c>
      <c r="AI49" s="7">
        <v>0.70503101309441796</v>
      </c>
    </row>
    <row r="50" spans="1:35" x14ac:dyDescent="0.25">
      <c r="A50">
        <v>2</v>
      </c>
      <c r="B50" s="1">
        <v>45876</v>
      </c>
      <c r="C50" s="1">
        <v>45878</v>
      </c>
      <c r="D50" s="3">
        <f t="shared" si="0"/>
        <v>-2</v>
      </c>
      <c r="E50" t="s">
        <v>36</v>
      </c>
      <c r="F50" t="s">
        <v>34</v>
      </c>
      <c r="G50">
        <v>1.91</v>
      </c>
      <c r="H50">
        <v>30</v>
      </c>
      <c r="I50" t="s">
        <v>35</v>
      </c>
      <c r="J50">
        <v>2</v>
      </c>
      <c r="K50">
        <v>5.7624979999999999</v>
      </c>
      <c r="L50">
        <v>1.6446045918367298E-2</v>
      </c>
      <c r="M50">
        <v>4.7606983418367298E-2</v>
      </c>
      <c r="N50">
        <v>2.5671348852040799E-2</v>
      </c>
      <c r="O50">
        <v>2.7950586734693798E-2</v>
      </c>
      <c r="P50">
        <v>8.3630102040816306E-3</v>
      </c>
      <c r="Q50">
        <v>4.5592410714285596E-3</v>
      </c>
      <c r="R50">
        <v>1.6507500000000001E-2</v>
      </c>
      <c r="S50">
        <v>4.7444999999999897E-2</v>
      </c>
      <c r="T50">
        <v>2.5417499999999999E-2</v>
      </c>
      <c r="U50">
        <v>2.7438749999999901E-2</v>
      </c>
      <c r="V50">
        <v>7.74874999999999E-3</v>
      </c>
      <c r="W50">
        <v>4.0499999999999902E-3</v>
      </c>
      <c r="X50" s="2">
        <v>3.0250000000001001E-4</v>
      </c>
      <c r="Y50" s="2">
        <v>2.61250000000384E-4</v>
      </c>
      <c r="Z50" s="2">
        <v>2.0625000000012601E-4</v>
      </c>
      <c r="AA50" s="2">
        <v>2.3374999999989301E-4</v>
      </c>
      <c r="AB50" s="2">
        <v>1.23749999999963E-4</v>
      </c>
      <c r="AC50" s="2">
        <v>1.65000000000001E-4</v>
      </c>
      <c r="AD50">
        <v>301.49049358762699</v>
      </c>
      <c r="AE50">
        <v>301.47787219999998</v>
      </c>
      <c r="AF50">
        <v>4.2053019092598898E-2</v>
      </c>
      <c r="AG50">
        <v>4.0922069114508602E-2</v>
      </c>
      <c r="AH50" s="7">
        <v>0.70366524145069198</v>
      </c>
      <c r="AI50" s="7">
        <v>0.71786799049092798</v>
      </c>
    </row>
    <row r="51" spans="1:35" x14ac:dyDescent="0.25">
      <c r="A51">
        <v>3</v>
      </c>
      <c r="B51" s="1">
        <v>45876</v>
      </c>
      <c r="C51" s="1">
        <v>45878</v>
      </c>
      <c r="D51" s="3">
        <f t="shared" si="0"/>
        <v>-2</v>
      </c>
      <c r="E51" t="s">
        <v>36</v>
      </c>
      <c r="F51" t="s">
        <v>34</v>
      </c>
      <c r="G51">
        <v>1.91</v>
      </c>
      <c r="H51">
        <v>30</v>
      </c>
      <c r="I51" t="s">
        <v>35</v>
      </c>
      <c r="J51">
        <v>3</v>
      </c>
      <c r="K51">
        <v>5.5809800000000003</v>
      </c>
      <c r="L51">
        <v>1.9139647798742099E-2</v>
      </c>
      <c r="M51">
        <v>4.6535874213836398E-2</v>
      </c>
      <c r="N51">
        <v>2.3677216981131999E-2</v>
      </c>
      <c r="O51">
        <v>2.0822613207547101E-2</v>
      </c>
      <c r="P51">
        <v>5.2298364779874099E-3</v>
      </c>
      <c r="Q51">
        <v>2.83788993710692E-3</v>
      </c>
      <c r="R51">
        <v>1.9147499999999901E-2</v>
      </c>
      <c r="S51">
        <v>4.6427499999999997E-2</v>
      </c>
      <c r="T51">
        <v>2.3602499999999998E-2</v>
      </c>
      <c r="U51">
        <v>2.07699999999999E-2</v>
      </c>
      <c r="V51">
        <v>5.2874999999999997E-3</v>
      </c>
      <c r="W51">
        <v>2.8400000000000001E-3</v>
      </c>
      <c r="X51" s="2">
        <v>1.23665094329695E-4</v>
      </c>
      <c r="Y51" s="2">
        <v>9.7873217309342805E-5</v>
      </c>
      <c r="Z51" s="2">
        <v>2.7316051447211101E-4</v>
      </c>
      <c r="AA51" s="2">
        <v>2.8431447768662499E-4</v>
      </c>
      <c r="AB51" s="2">
        <v>1.16672618895771E-4</v>
      </c>
      <c r="AC51" s="2">
        <v>1.29636243218002E-5</v>
      </c>
      <c r="AD51">
        <v>301.32731594294302</v>
      </c>
      <c r="AE51">
        <v>301.32064328000001</v>
      </c>
      <c r="AF51">
        <v>-6.4147109965204896E-2</v>
      </c>
      <c r="AG51">
        <v>-6.2985430013039606E-2</v>
      </c>
      <c r="AH51" s="7">
        <v>0.797960924650986</v>
      </c>
      <c r="AI51" s="7">
        <v>0.79966848212171404</v>
      </c>
    </row>
    <row r="52" spans="1:35" x14ac:dyDescent="0.25">
      <c r="A52">
        <v>4</v>
      </c>
      <c r="B52" s="1">
        <v>45876</v>
      </c>
      <c r="C52" s="1">
        <v>45878</v>
      </c>
      <c r="D52" s="3">
        <f t="shared" si="0"/>
        <v>-2</v>
      </c>
      <c r="E52" t="s">
        <v>36</v>
      </c>
      <c r="F52" t="s">
        <v>34</v>
      </c>
      <c r="G52">
        <v>1.91</v>
      </c>
      <c r="H52">
        <v>30</v>
      </c>
      <c r="I52" t="s">
        <v>35</v>
      </c>
      <c r="J52">
        <v>3</v>
      </c>
      <c r="K52">
        <v>7.1541360000000003</v>
      </c>
      <c r="L52">
        <v>1.50711432160803E-2</v>
      </c>
      <c r="M52">
        <v>4.3466516959798897E-2</v>
      </c>
      <c r="N52">
        <v>2.0646768216080399E-2</v>
      </c>
      <c r="O52">
        <v>1.8238307160804001E-2</v>
      </c>
      <c r="P52">
        <v>4.65983668341707E-3</v>
      </c>
      <c r="Q52">
        <v>2.6705087939698398E-3</v>
      </c>
      <c r="R52">
        <v>1.5214999999999999E-2</v>
      </c>
      <c r="S52">
        <v>4.3759999999999903E-2</v>
      </c>
      <c r="T52">
        <v>2.0852499999999899E-2</v>
      </c>
      <c r="U52">
        <v>1.8239999999999999E-2</v>
      </c>
      <c r="V52">
        <v>4.7099999999999902E-3</v>
      </c>
      <c r="W52">
        <v>2.6749999999999899E-3</v>
      </c>
      <c r="X52" s="2">
        <v>3.7054202040912699E-4</v>
      </c>
      <c r="Y52" s="2">
        <v>3.4371944308592698E-4</v>
      </c>
      <c r="Z52" s="2">
        <v>3.7190015087680903E-4</v>
      </c>
      <c r="AA52" s="2">
        <v>8.9814623902072804E-5</v>
      </c>
      <c r="AB52" s="2">
        <v>1.13014256721086E-4</v>
      </c>
      <c r="AC52" s="2">
        <v>3.8890872965240997E-5</v>
      </c>
      <c r="AD52">
        <v>301.20484711751197</v>
      </c>
      <c r="AE52">
        <v>301.20101258</v>
      </c>
      <c r="AF52">
        <v>-6.1854469097814002E-2</v>
      </c>
      <c r="AG52">
        <v>-6.4906077634978104E-2</v>
      </c>
      <c r="AH52" s="7">
        <v>0.80637725470777499</v>
      </c>
      <c r="AI52" s="7">
        <v>0.80576318366926103</v>
      </c>
    </row>
    <row r="53" spans="1:35" x14ac:dyDescent="0.25">
      <c r="A53">
        <v>5</v>
      </c>
      <c r="B53" s="1">
        <v>45876</v>
      </c>
      <c r="C53" s="1">
        <v>45878</v>
      </c>
      <c r="D53" s="3">
        <f t="shared" si="0"/>
        <v>-2</v>
      </c>
      <c r="E53" t="s">
        <v>36</v>
      </c>
      <c r="F53" t="s">
        <v>34</v>
      </c>
      <c r="G53">
        <v>1.91</v>
      </c>
      <c r="H53">
        <v>30</v>
      </c>
      <c r="I53" t="s">
        <v>35</v>
      </c>
      <c r="J53">
        <v>3</v>
      </c>
      <c r="K53">
        <v>7.4869190000000003</v>
      </c>
      <c r="L53">
        <v>2.1453496835442998E-2</v>
      </c>
      <c r="M53">
        <v>4.6797984177215098E-2</v>
      </c>
      <c r="N53">
        <v>2.71300189873417E-2</v>
      </c>
      <c r="O53">
        <v>2.6722914556962001E-2</v>
      </c>
      <c r="P53">
        <v>6.9709525316455504E-3</v>
      </c>
      <c r="Q53">
        <v>3.3091708860759398E-3</v>
      </c>
      <c r="R53">
        <v>2.1595E-2</v>
      </c>
      <c r="S53">
        <v>4.6922499999999999E-2</v>
      </c>
      <c r="T53">
        <v>2.71224999999999E-2</v>
      </c>
      <c r="U53">
        <v>2.682E-2</v>
      </c>
      <c r="V53">
        <v>7.0199999999999898E-3</v>
      </c>
      <c r="W53">
        <v>3.3074999999999901E-3</v>
      </c>
      <c r="X53" s="2">
        <v>4.0187235397440101E-4</v>
      </c>
      <c r="Y53" s="2">
        <v>3.45183123702601E-4</v>
      </c>
      <c r="Z53" s="2">
        <v>3.7190015087680903E-4</v>
      </c>
      <c r="AA53" s="2">
        <v>3.8171215158372602E-4</v>
      </c>
      <c r="AB53" s="2">
        <v>1.10761254757978E-4</v>
      </c>
      <c r="AC53" s="2">
        <v>1.57709296562445E-4</v>
      </c>
      <c r="AD53">
        <v>301.764410441189</v>
      </c>
      <c r="AE53">
        <v>301.77865795999998</v>
      </c>
      <c r="AF53">
        <v>-7.5884403540309696E-3</v>
      </c>
      <c r="AG53">
        <v>-6.5079870750468401E-3</v>
      </c>
      <c r="AH53" s="7">
        <v>0.740718012161517</v>
      </c>
      <c r="AI53" s="7">
        <v>0.74012031466913397</v>
      </c>
    </row>
    <row r="54" spans="1:35" x14ac:dyDescent="0.25">
      <c r="A54">
        <v>6</v>
      </c>
      <c r="B54" s="1">
        <v>45876</v>
      </c>
      <c r="C54" s="1">
        <v>45878</v>
      </c>
      <c r="D54" s="3">
        <f t="shared" si="0"/>
        <v>-2</v>
      </c>
      <c r="E54" t="s">
        <v>36</v>
      </c>
      <c r="F54" t="s">
        <v>34</v>
      </c>
      <c r="G54">
        <v>1.91</v>
      </c>
      <c r="H54">
        <v>30</v>
      </c>
      <c r="I54" t="s">
        <v>35</v>
      </c>
      <c r="J54">
        <v>3</v>
      </c>
      <c r="K54">
        <v>7.0936300000000001</v>
      </c>
      <c r="L54">
        <v>1.6075152477763598E-2</v>
      </c>
      <c r="M54">
        <v>4.3190711562897E-2</v>
      </c>
      <c r="N54">
        <v>2.2324326556543799E-2</v>
      </c>
      <c r="O54">
        <v>2.21693900889453E-2</v>
      </c>
      <c r="P54">
        <v>6.3012960609910998E-3</v>
      </c>
      <c r="Q54">
        <v>3.3596696315120601E-3</v>
      </c>
      <c r="R54">
        <v>1.6039999999999999E-2</v>
      </c>
      <c r="S54">
        <v>4.2797499999999898E-2</v>
      </c>
      <c r="T54">
        <v>2.1952499999999899E-2</v>
      </c>
      <c r="U54">
        <v>2.2089999999999999E-2</v>
      </c>
      <c r="V54">
        <v>6.1399999999999996E-3</v>
      </c>
      <c r="W54">
        <v>3.3349999999999999E-3</v>
      </c>
      <c r="X54" s="2">
        <v>3.4809202167756202E-4</v>
      </c>
      <c r="Y54" s="2">
        <v>6.3561431352320995E-4</v>
      </c>
      <c r="Z54" s="2">
        <v>4.9261772422664403E-4</v>
      </c>
      <c r="AA54" s="2">
        <v>2.08629789073487E-4</v>
      </c>
      <c r="AB54" s="2">
        <v>3.0485196771912101E-4</v>
      </c>
      <c r="AC54" s="2">
        <v>9.7873217310289002E-5</v>
      </c>
      <c r="AD54">
        <v>301.68415209570497</v>
      </c>
      <c r="AE54">
        <v>301.68295339999997</v>
      </c>
      <c r="AF54">
        <v>-3.4894593384759802E-3</v>
      </c>
      <c r="AG54">
        <v>3.1219844468414002E-3</v>
      </c>
      <c r="AH54" s="7">
        <v>0.74537425547913105</v>
      </c>
      <c r="AI54" s="7">
        <v>0.74877986128949403</v>
      </c>
    </row>
    <row r="55" spans="1:35" x14ac:dyDescent="0.25">
      <c r="A55">
        <v>7</v>
      </c>
      <c r="B55" s="1">
        <v>45876</v>
      </c>
      <c r="C55" s="1">
        <v>45878</v>
      </c>
      <c r="D55" s="3">
        <f t="shared" si="0"/>
        <v>-2</v>
      </c>
      <c r="E55" t="s">
        <v>36</v>
      </c>
      <c r="F55" t="s">
        <v>34</v>
      </c>
      <c r="G55">
        <v>1.91</v>
      </c>
      <c r="H55">
        <v>30</v>
      </c>
      <c r="I55" t="s">
        <v>35</v>
      </c>
      <c r="J55">
        <v>3</v>
      </c>
      <c r="K55">
        <v>10.693737</v>
      </c>
      <c r="L55">
        <v>1.6043433165195398E-2</v>
      </c>
      <c r="M55">
        <v>4.10739817150063E-2</v>
      </c>
      <c r="N55">
        <v>2.1127430643127301E-2</v>
      </c>
      <c r="O55">
        <v>2.3175747162673298E-2</v>
      </c>
      <c r="P55">
        <v>5.7981399747793101E-3</v>
      </c>
      <c r="Q55">
        <v>3.0411349306431299E-3</v>
      </c>
      <c r="R55">
        <v>1.5902499999999899E-2</v>
      </c>
      <c r="S55">
        <v>4.1339999999999898E-2</v>
      </c>
      <c r="T55">
        <v>2.1182499999999899E-2</v>
      </c>
      <c r="U55">
        <v>2.31075E-2</v>
      </c>
      <c r="V55">
        <v>5.8100000000000096E-3</v>
      </c>
      <c r="W55">
        <v>3.0599999999999998E-3</v>
      </c>
      <c r="X55" s="2">
        <v>2.4630886211328499E-4</v>
      </c>
      <c r="Y55" s="2">
        <v>5.6149107047401704E-4</v>
      </c>
      <c r="Z55" s="2">
        <v>3.7190015087690601E-4</v>
      </c>
      <c r="AA55" s="2">
        <v>2.3442305062982901E-4</v>
      </c>
      <c r="AB55" s="2">
        <v>9.3482024415867505E-5</v>
      </c>
      <c r="AC55" s="2">
        <v>7.7781745930518301E-5</v>
      </c>
      <c r="AD55">
        <v>300.97328538116</v>
      </c>
      <c r="AE55">
        <v>300.96516919999999</v>
      </c>
      <c r="AF55">
        <v>4.6332675810737897E-2</v>
      </c>
      <c r="AG55">
        <v>4.5267489711933701E-2</v>
      </c>
      <c r="AH55" s="7">
        <v>0.75254862022844404</v>
      </c>
      <c r="AI55" s="7">
        <v>0.75211660057871599</v>
      </c>
    </row>
    <row r="56" spans="1:35" x14ac:dyDescent="0.25">
      <c r="A56">
        <v>8</v>
      </c>
      <c r="B56" s="1">
        <v>45876</v>
      </c>
      <c r="C56" s="1">
        <v>45878</v>
      </c>
      <c r="D56" s="3">
        <f t="shared" si="0"/>
        <v>-2</v>
      </c>
      <c r="E56" t="s">
        <v>36</v>
      </c>
      <c r="F56" t="s">
        <v>34</v>
      </c>
      <c r="G56">
        <v>1.91</v>
      </c>
      <c r="H56">
        <v>30</v>
      </c>
      <c r="I56" t="s">
        <v>35</v>
      </c>
      <c r="J56">
        <v>3</v>
      </c>
      <c r="K56">
        <v>9.4231110000000022</v>
      </c>
      <c r="L56">
        <v>2.3079930555555499E-2</v>
      </c>
      <c r="M56">
        <v>4.4024027777777697E-2</v>
      </c>
      <c r="N56">
        <v>2.4482951388888799E-2</v>
      </c>
      <c r="O56">
        <v>2.96300694444444E-2</v>
      </c>
      <c r="P56">
        <v>8.2728819444444403E-3</v>
      </c>
      <c r="Q56">
        <v>4.5345486111111003E-3</v>
      </c>
      <c r="R56">
        <v>2.3547499999999999E-2</v>
      </c>
      <c r="S56">
        <v>4.4254999999999899E-2</v>
      </c>
      <c r="T56">
        <v>2.4592499999999899E-2</v>
      </c>
      <c r="U56">
        <v>2.9790000000000001E-2</v>
      </c>
      <c r="V56">
        <v>8.0925000000000007E-3</v>
      </c>
      <c r="W56">
        <v>4.3799999999999898E-3</v>
      </c>
      <c r="X56" s="2">
        <v>8.1958407473278804E-4</v>
      </c>
      <c r="Y56" s="2">
        <v>7.0087544463233301E-4</v>
      </c>
      <c r="Z56" s="2">
        <v>7.5289533727401498E-4</v>
      </c>
      <c r="AA56" s="2">
        <v>7.4650667928848904E-4</v>
      </c>
      <c r="AB56" s="2">
        <v>8.7232766524715196E-4</v>
      </c>
      <c r="AC56" s="2">
        <v>7.3892658633993797E-4</v>
      </c>
      <c r="AD56">
        <v>300.22559512250001</v>
      </c>
      <c r="AE56">
        <v>300.24054895999899</v>
      </c>
      <c r="AF56">
        <v>9.5193282592208606E-2</v>
      </c>
      <c r="AG56">
        <v>9.5573024410426505E-2</v>
      </c>
      <c r="AH56" s="7">
        <v>0.68436241656832897</v>
      </c>
      <c r="AI56" s="7">
        <v>0.69081618033334902</v>
      </c>
    </row>
    <row r="57" spans="1:35" x14ac:dyDescent="0.25">
      <c r="A57">
        <v>9</v>
      </c>
      <c r="B57" s="1">
        <v>45876</v>
      </c>
      <c r="C57" s="1">
        <v>45878</v>
      </c>
      <c r="D57" s="3">
        <f t="shared" si="0"/>
        <v>-2</v>
      </c>
      <c r="E57" t="s">
        <v>36</v>
      </c>
      <c r="F57" t="s">
        <v>34</v>
      </c>
      <c r="G57">
        <v>1.91</v>
      </c>
      <c r="H57">
        <v>30</v>
      </c>
      <c r="I57" t="s">
        <v>35</v>
      </c>
      <c r="J57">
        <v>2</v>
      </c>
      <c r="K57">
        <v>11.540821000000001</v>
      </c>
      <c r="L57">
        <v>2.4121265862944101E-2</v>
      </c>
      <c r="M57">
        <v>4.0180986675126797E-2</v>
      </c>
      <c r="N57">
        <v>2.3363724619289299E-2</v>
      </c>
      <c r="O57">
        <v>2.6012135152284201E-2</v>
      </c>
      <c r="P57">
        <v>6.1332296954314698E-3</v>
      </c>
      <c r="Q57">
        <v>3.0615704314720699E-3</v>
      </c>
      <c r="R57">
        <v>2.4372499999999901E-2</v>
      </c>
      <c r="S57">
        <v>4.0047499999999903E-2</v>
      </c>
      <c r="T57">
        <v>2.3162499999999999E-2</v>
      </c>
      <c r="U57">
        <v>2.60499999999999E-2</v>
      </c>
      <c r="V57">
        <v>6.1399999999999996E-3</v>
      </c>
      <c r="W57">
        <v>3.0324999999999901E-3</v>
      </c>
      <c r="X57" s="2">
        <v>4.1250000000708702E-5</v>
      </c>
      <c r="Y57" s="2">
        <v>5.50000000005069E-5</v>
      </c>
      <c r="Z57" s="2">
        <v>3.3000000000008402E-4</v>
      </c>
      <c r="AA57" s="2">
        <v>1.37500000011123E-5</v>
      </c>
      <c r="AB57" s="2">
        <v>1.23750000000018E-4</v>
      </c>
      <c r="AC57" s="2">
        <v>5.4999999999998599E-5</v>
      </c>
      <c r="AD57">
        <v>301.00576035629399</v>
      </c>
      <c r="AE57">
        <v>301.05745574000002</v>
      </c>
      <c r="AF57">
        <v>5.3665099036281097E-2</v>
      </c>
      <c r="AG57">
        <v>5.8674117348234398E-2</v>
      </c>
      <c r="AH57" s="7">
        <v>0.73526499628415498</v>
      </c>
      <c r="AI57" s="7">
        <v>0.73349249362945501</v>
      </c>
    </row>
    <row r="58" spans="1:35" x14ac:dyDescent="0.25">
      <c r="A58">
        <v>10</v>
      </c>
      <c r="B58" s="1">
        <v>45876</v>
      </c>
      <c r="C58" s="1">
        <v>45878</v>
      </c>
      <c r="D58" s="3">
        <f t="shared" si="0"/>
        <v>-2</v>
      </c>
      <c r="E58" t="s">
        <v>36</v>
      </c>
      <c r="F58" t="s">
        <v>34</v>
      </c>
      <c r="G58">
        <v>1.91</v>
      </c>
      <c r="H58">
        <v>30</v>
      </c>
      <c r="I58" t="s">
        <v>35</v>
      </c>
      <c r="J58">
        <v>3</v>
      </c>
      <c r="K58">
        <v>11.359303000000001</v>
      </c>
      <c r="L58">
        <v>1.4786275706940801E-2</v>
      </c>
      <c r="M58">
        <v>3.4267798843187598E-2</v>
      </c>
      <c r="N58">
        <v>1.8792933804627199E-2</v>
      </c>
      <c r="O58">
        <v>2.74547975578406E-2</v>
      </c>
      <c r="P58">
        <v>7.3370276349614301E-3</v>
      </c>
      <c r="Q58">
        <v>3.9887435732647702E-3</v>
      </c>
      <c r="R58">
        <v>1.3317499999999999E-2</v>
      </c>
      <c r="S58">
        <v>3.3584999999999997E-2</v>
      </c>
      <c r="T58">
        <v>1.81024999999999E-2</v>
      </c>
      <c r="U58">
        <v>2.7012499999999901E-2</v>
      </c>
      <c r="V58">
        <v>7.2124999999999802E-3</v>
      </c>
      <c r="W58">
        <v>3.9674999999999797E-3</v>
      </c>
      <c r="X58">
        <v>1.90578505258768E-3</v>
      </c>
      <c r="Y58">
        <v>1.42263595327678E-3</v>
      </c>
      <c r="Z58">
        <v>1.3012147102696599E-3</v>
      </c>
      <c r="AA58" s="2">
        <v>9.33650987610874E-4</v>
      </c>
      <c r="AB58" s="2">
        <v>3.8259167383632701E-4</v>
      </c>
      <c r="AC58" s="2">
        <v>8.5008169542052404E-5</v>
      </c>
      <c r="AD58">
        <v>300.85736098305898</v>
      </c>
      <c r="AE58">
        <v>300.814776319999</v>
      </c>
      <c r="AF58">
        <v>0.187758104978693</v>
      </c>
      <c r="AG58">
        <v>0.19749528981491701</v>
      </c>
      <c r="AH58" s="7">
        <v>0.64733946019814903</v>
      </c>
      <c r="AI58" s="7">
        <v>0.647534952170713</v>
      </c>
    </row>
    <row r="59" spans="1:35" x14ac:dyDescent="0.25">
      <c r="A59">
        <v>11</v>
      </c>
      <c r="B59" s="1">
        <v>45876</v>
      </c>
      <c r="C59" s="1">
        <v>45878</v>
      </c>
      <c r="D59" s="3">
        <f t="shared" si="0"/>
        <v>-2</v>
      </c>
      <c r="E59" t="s">
        <v>36</v>
      </c>
      <c r="F59" t="s">
        <v>34</v>
      </c>
      <c r="G59">
        <v>1.91</v>
      </c>
      <c r="H59">
        <v>30</v>
      </c>
      <c r="I59" t="s">
        <v>35</v>
      </c>
      <c r="J59">
        <v>2</v>
      </c>
      <c r="K59">
        <v>18.710782000000002</v>
      </c>
      <c r="L59">
        <v>2.5829544005102002E-2</v>
      </c>
      <c r="M59">
        <v>4.24693239795918E-2</v>
      </c>
      <c r="N59">
        <v>2.8534400510203999E-2</v>
      </c>
      <c r="O59">
        <v>3.1988386479591797E-2</v>
      </c>
      <c r="P59">
        <v>8.4450542091836604E-3</v>
      </c>
      <c r="Q59">
        <v>4.3989062499999896E-3</v>
      </c>
      <c r="R59">
        <v>2.53075E-2</v>
      </c>
      <c r="S59">
        <v>4.2220000000000001E-2</v>
      </c>
      <c r="T59">
        <v>2.8827499999999999E-2</v>
      </c>
      <c r="U59">
        <v>3.1934999999999901E-2</v>
      </c>
      <c r="V59">
        <v>8.6149999999999803E-3</v>
      </c>
      <c r="W59">
        <v>4.2975000000000096E-3</v>
      </c>
      <c r="X59" s="2">
        <v>7.4249999999998005E-4</v>
      </c>
      <c r="Y59" s="2">
        <v>3.98749999999902E-4</v>
      </c>
      <c r="Z59" s="2">
        <v>4.8125000000007E-4</v>
      </c>
      <c r="AA59" s="2">
        <v>6.0500000000002002E-4</v>
      </c>
      <c r="AB59" s="2">
        <v>2.8874999999998601E-4</v>
      </c>
      <c r="AC59" s="2">
        <v>5.5000000000014002E-5</v>
      </c>
      <c r="AD59">
        <v>301.625919550969</v>
      </c>
      <c r="AE59">
        <v>301.56332269999899</v>
      </c>
      <c r="AF59">
        <v>5.7067951966338203E-2</v>
      </c>
      <c r="AG59">
        <v>5.6851128198664003E-2</v>
      </c>
      <c r="AH59" s="7">
        <v>0.66840302375434402</v>
      </c>
      <c r="AI59" s="7">
        <v>0.66629545344501995</v>
      </c>
    </row>
    <row r="60" spans="1:35" x14ac:dyDescent="0.25">
      <c r="A60">
        <v>4</v>
      </c>
      <c r="B60" s="1">
        <v>45896</v>
      </c>
      <c r="C60" s="1">
        <v>45894</v>
      </c>
      <c r="D60" s="3">
        <f t="shared" si="0"/>
        <v>2</v>
      </c>
      <c r="E60" t="s">
        <v>36</v>
      </c>
      <c r="F60" t="s">
        <v>34</v>
      </c>
      <c r="G60">
        <v>37.21</v>
      </c>
      <c r="H60">
        <v>30</v>
      </c>
      <c r="I60" t="s">
        <v>35</v>
      </c>
      <c r="J60">
        <v>3</v>
      </c>
      <c r="K60">
        <v>6.7608470000000001</v>
      </c>
      <c r="L60">
        <v>3.75169250645994E-3</v>
      </c>
      <c r="M60">
        <v>2.5319864341085199E-2</v>
      </c>
      <c r="N60">
        <v>1.32664793281653E-2</v>
      </c>
      <c r="O60">
        <v>8.5119993540051595E-3</v>
      </c>
      <c r="P60">
        <v>7.5654521963824202E-3</v>
      </c>
      <c r="Q60">
        <v>6.9555135658914604E-3</v>
      </c>
      <c r="R60">
        <v>3.6924999999999801E-3</v>
      </c>
      <c r="S60">
        <v>2.6104999999999899E-2</v>
      </c>
      <c r="T60">
        <v>1.36199999999999E-2</v>
      </c>
      <c r="U60">
        <v>8.5049999999999796E-3</v>
      </c>
      <c r="V60">
        <v>7.6249999999999903E-3</v>
      </c>
      <c r="W60">
        <v>7.1574999999999799E-3</v>
      </c>
      <c r="X60" s="2">
        <v>5.5015275656453502E-4</v>
      </c>
      <c r="Y60">
        <v>1.2813019637158999E-3</v>
      </c>
      <c r="Z60" s="2">
        <v>7.7532878330565801E-4</v>
      </c>
      <c r="AA60" s="2">
        <v>3.7370331369505601E-4</v>
      </c>
      <c r="AB60" s="2">
        <v>4.5075399794860702E-4</v>
      </c>
      <c r="AC60" s="2">
        <v>5.89951740022473E-4</v>
      </c>
      <c r="AD60">
        <v>298.87121242558101</v>
      </c>
      <c r="AE60">
        <v>298.86992293999998</v>
      </c>
      <c r="AF60">
        <v>-0.217623178351116</v>
      </c>
      <c r="AG60">
        <v>-0.20640305311141699</v>
      </c>
      <c r="AH60" s="7">
        <v>0.53981823770113602</v>
      </c>
      <c r="AI60" s="7">
        <v>0.546859254282834</v>
      </c>
    </row>
    <row r="61" spans="1:35" x14ac:dyDescent="0.25">
      <c r="A61">
        <v>5</v>
      </c>
      <c r="B61" s="1">
        <v>45896</v>
      </c>
      <c r="C61" s="1">
        <v>45894</v>
      </c>
      <c r="D61" s="3">
        <f t="shared" si="0"/>
        <v>2</v>
      </c>
      <c r="E61" t="s">
        <v>36</v>
      </c>
      <c r="F61" t="s">
        <v>34</v>
      </c>
      <c r="G61">
        <v>37.21</v>
      </c>
      <c r="H61">
        <v>30</v>
      </c>
      <c r="I61" t="s">
        <v>35</v>
      </c>
      <c r="J61">
        <v>3</v>
      </c>
      <c r="K61">
        <v>10.149183000000001</v>
      </c>
      <c r="L61">
        <v>1.76067689873417E-2</v>
      </c>
      <c r="M61">
        <v>3.1102829113924001E-2</v>
      </c>
      <c r="N61">
        <v>2.0622613924050601E-2</v>
      </c>
      <c r="O61">
        <v>1.30066107594936E-2</v>
      </c>
      <c r="P61">
        <v>7.4456234177215103E-3</v>
      </c>
      <c r="Q61">
        <v>5.8520158227848102E-3</v>
      </c>
      <c r="R61">
        <v>1.84874999999999E-2</v>
      </c>
      <c r="S61">
        <v>3.1164999999999901E-2</v>
      </c>
      <c r="T61">
        <v>2.07424999999999E-2</v>
      </c>
      <c r="U61">
        <v>1.32349999999999E-2</v>
      </c>
      <c r="V61">
        <v>7.04749999999998E-3</v>
      </c>
      <c r="W61">
        <v>5.8100000000000096E-3</v>
      </c>
      <c r="X61">
        <v>1.32248030861206E-3</v>
      </c>
      <c r="Y61" s="2">
        <v>8.0624989233423698E-4</v>
      </c>
      <c r="Z61" s="2">
        <v>7.27350595578899E-4</v>
      </c>
      <c r="AA61" s="2">
        <v>9.34190826330469E-4</v>
      </c>
      <c r="AB61" s="2">
        <v>9.3455054556842705E-4</v>
      </c>
      <c r="AC61" s="2">
        <v>6.6772104122072001E-4</v>
      </c>
      <c r="AD61">
        <v>298.73667640589798</v>
      </c>
      <c r="AE61">
        <v>298.74003818</v>
      </c>
      <c r="AF61">
        <v>-0.227820331039253</v>
      </c>
      <c r="AG61">
        <v>-0.224615816433934</v>
      </c>
      <c r="AH61" s="7">
        <v>0.61589607092555998</v>
      </c>
      <c r="AI61" s="7">
        <v>0.61879648411088595</v>
      </c>
    </row>
    <row r="62" spans="1:35" x14ac:dyDescent="0.25">
      <c r="A62">
        <v>6</v>
      </c>
      <c r="B62" s="1">
        <v>45896</v>
      </c>
      <c r="C62" s="1">
        <v>45894</v>
      </c>
      <c r="D62" s="3">
        <f t="shared" si="0"/>
        <v>2</v>
      </c>
      <c r="E62" t="s">
        <v>36</v>
      </c>
      <c r="F62" t="s">
        <v>34</v>
      </c>
      <c r="G62">
        <v>37.21</v>
      </c>
      <c r="H62">
        <v>30</v>
      </c>
      <c r="I62" t="s">
        <v>35</v>
      </c>
      <c r="J62">
        <v>3</v>
      </c>
      <c r="K62">
        <v>4.7641490000000006</v>
      </c>
      <c r="L62">
        <v>1.1246998094027899E-2</v>
      </c>
      <c r="M62">
        <v>3.04240374841169E-2</v>
      </c>
      <c r="N62">
        <v>1.5125651207115599E-2</v>
      </c>
      <c r="O62">
        <v>6.7999650571791501E-3</v>
      </c>
      <c r="P62">
        <v>3.4310927573062201E-3</v>
      </c>
      <c r="Q62">
        <v>3.2571473951715302E-3</v>
      </c>
      <c r="R62">
        <v>1.13099999999999E-2</v>
      </c>
      <c r="S62">
        <v>3.0422499999999901E-2</v>
      </c>
      <c r="T62">
        <v>1.5022499999999901E-2</v>
      </c>
      <c r="U62">
        <v>6.855E-3</v>
      </c>
      <c r="V62">
        <v>3.4450000000000001E-3</v>
      </c>
      <c r="W62">
        <v>3.1150000000000001E-3</v>
      </c>
      <c r="X62" s="2">
        <v>3.4298526045428598E-4</v>
      </c>
      <c r="Y62" s="2">
        <v>4.1725957814732099E-4</v>
      </c>
      <c r="Z62" s="2">
        <v>5.8566320431530799E-4</v>
      </c>
      <c r="AA62" s="2">
        <v>8.5677690600685099E-4</v>
      </c>
      <c r="AB62" s="2">
        <v>6.7560261166524198E-4</v>
      </c>
      <c r="AC62" s="2">
        <v>6.1505532723125705E-4</v>
      </c>
      <c r="AD62">
        <v>299.14170981875401</v>
      </c>
      <c r="AE62">
        <v>299.14678256000002</v>
      </c>
      <c r="AF62">
        <v>-0.38465623774039398</v>
      </c>
      <c r="AG62">
        <v>-0.37332876242715102</v>
      </c>
      <c r="AH62" s="7">
        <v>0.79969825650808701</v>
      </c>
      <c r="AI62" s="7">
        <v>0.79656012401269605</v>
      </c>
    </row>
    <row r="63" spans="1:35" x14ac:dyDescent="0.25">
      <c r="A63">
        <v>7</v>
      </c>
      <c r="B63" s="1">
        <v>45896</v>
      </c>
      <c r="C63" s="1">
        <v>45894</v>
      </c>
      <c r="D63" s="3">
        <f t="shared" si="0"/>
        <v>2</v>
      </c>
      <c r="E63" t="s">
        <v>36</v>
      </c>
      <c r="F63" t="s">
        <v>34</v>
      </c>
      <c r="G63">
        <v>37.21</v>
      </c>
      <c r="H63">
        <v>30</v>
      </c>
      <c r="I63" t="s">
        <v>35</v>
      </c>
      <c r="J63">
        <v>3</v>
      </c>
      <c r="K63">
        <v>6.5188230000000003</v>
      </c>
      <c r="L63">
        <v>-5.8960876418663304E-3</v>
      </c>
      <c r="M63">
        <v>2.0298442622950798E-2</v>
      </c>
      <c r="N63">
        <v>8.0694735182849798E-3</v>
      </c>
      <c r="O63">
        <v>7.1213650693568598E-3</v>
      </c>
      <c r="P63">
        <v>8.0429791929382093E-3</v>
      </c>
      <c r="Q63">
        <v>7.5642087011349203E-3</v>
      </c>
      <c r="R63">
        <v>-6.8950000000000096E-3</v>
      </c>
      <c r="S63">
        <v>1.92024999999999E-2</v>
      </c>
      <c r="T63">
        <v>6.855E-3</v>
      </c>
      <c r="U63">
        <v>5.9474999999999901E-3</v>
      </c>
      <c r="V63">
        <v>6.9099999999999899E-3</v>
      </c>
      <c r="W63">
        <v>6.7724999999999799E-3</v>
      </c>
      <c r="X63" s="2">
        <v>7.8854648281244293E-5</v>
      </c>
      <c r="Y63" s="2">
        <v>1.70016339084237E-4</v>
      </c>
      <c r="Z63" s="2">
        <v>2.0124956866759099E-4</v>
      </c>
      <c r="AA63" s="2">
        <v>7.6836135162218499E-4</v>
      </c>
      <c r="AB63" s="2">
        <v>5.9787470816774697E-4</v>
      </c>
      <c r="AC63" s="2">
        <v>3.99355383364508E-4</v>
      </c>
      <c r="AD63">
        <v>298.50703093765401</v>
      </c>
      <c r="AE63">
        <v>298.46659657999999</v>
      </c>
      <c r="AF63">
        <v>-0.119552754177779</v>
      </c>
      <c r="AG63">
        <v>-0.19776813391196499</v>
      </c>
      <c r="AH63" s="7">
        <v>0.45523350114181299</v>
      </c>
      <c r="AI63" s="7">
        <v>0.47075155576830902</v>
      </c>
    </row>
    <row r="64" spans="1:35" x14ac:dyDescent="0.25">
      <c r="A64">
        <v>8</v>
      </c>
      <c r="B64" s="1">
        <v>45896</v>
      </c>
      <c r="C64" s="1">
        <v>45894</v>
      </c>
      <c r="D64" s="3">
        <f t="shared" si="0"/>
        <v>2</v>
      </c>
      <c r="E64" t="s">
        <v>36</v>
      </c>
      <c r="F64" t="s">
        <v>34</v>
      </c>
      <c r="G64">
        <v>37.21</v>
      </c>
      <c r="H64">
        <v>30</v>
      </c>
      <c r="I64" t="s">
        <v>35</v>
      </c>
      <c r="J64">
        <v>3</v>
      </c>
      <c r="K64">
        <v>12.206387000000001</v>
      </c>
      <c r="L64">
        <v>1.4011215277777701E-2</v>
      </c>
      <c r="M64">
        <v>3.26565625E-2</v>
      </c>
      <c r="N64">
        <v>2.0811249999999899E-2</v>
      </c>
      <c r="O64">
        <v>1.7205624999999999E-2</v>
      </c>
      <c r="P64">
        <v>1.40068055555555E-2</v>
      </c>
      <c r="Q64">
        <v>1.06229861111111E-2</v>
      </c>
      <c r="R64">
        <v>1.38675E-2</v>
      </c>
      <c r="S64">
        <v>3.2374999999999897E-2</v>
      </c>
      <c r="T64">
        <v>2.0219999999999901E-2</v>
      </c>
      <c r="U64">
        <v>1.593E-2</v>
      </c>
      <c r="V64">
        <v>1.09799999999999E-2</v>
      </c>
      <c r="W64">
        <v>9.0550000000000005E-3</v>
      </c>
      <c r="X64" s="2">
        <v>5.7348471838594001E-4</v>
      </c>
      <c r="Y64" s="2">
        <v>6.5744877282481601E-4</v>
      </c>
      <c r="Z64" s="2">
        <v>6.2588936722080902E-4</v>
      </c>
      <c r="AA64">
        <v>1.2646013864719E-3</v>
      </c>
      <c r="AB64">
        <v>4.5846348152158104E-3</v>
      </c>
      <c r="AC64">
        <v>2.6351257085763398E-3</v>
      </c>
      <c r="AD64">
        <v>298.23630748250002</v>
      </c>
      <c r="AE64">
        <v>298.24100726</v>
      </c>
      <c r="AF64">
        <v>-9.8134383654439106E-2</v>
      </c>
      <c r="AG64">
        <v>-0.118672199170124</v>
      </c>
      <c r="AH64" s="7">
        <v>0.41318956444521798</v>
      </c>
      <c r="AI64" s="7">
        <v>0.49348402721716</v>
      </c>
    </row>
    <row r="65" spans="1:35" x14ac:dyDescent="0.25">
      <c r="A65">
        <v>9</v>
      </c>
      <c r="B65" s="1">
        <v>45896</v>
      </c>
      <c r="C65" s="1">
        <v>45894</v>
      </c>
      <c r="D65" s="3">
        <f t="shared" si="0"/>
        <v>2</v>
      </c>
      <c r="E65" t="s">
        <v>36</v>
      </c>
      <c r="F65" t="s">
        <v>34</v>
      </c>
      <c r="G65">
        <v>37.21</v>
      </c>
      <c r="H65">
        <v>30</v>
      </c>
      <c r="I65" t="s">
        <v>35</v>
      </c>
      <c r="J65">
        <v>2</v>
      </c>
      <c r="K65">
        <v>16.502313000000001</v>
      </c>
      <c r="L65">
        <v>-2.9032772842639601E-3</v>
      </c>
      <c r="M65">
        <v>1.9520076142131901E-2</v>
      </c>
      <c r="N65">
        <v>7.6670526649746202E-3</v>
      </c>
      <c r="O65">
        <v>4.1665958121827398E-3</v>
      </c>
      <c r="P65">
        <v>3.39265228426395E-3</v>
      </c>
      <c r="Q65">
        <v>3.6696414974619201E-3</v>
      </c>
      <c r="R65">
        <v>-1.23E-3</v>
      </c>
      <c r="S65">
        <v>2.0302500000000001E-2</v>
      </c>
      <c r="T65">
        <v>8.4774999999999903E-3</v>
      </c>
      <c r="U65">
        <v>4.3524999999999996E-3</v>
      </c>
      <c r="V65">
        <v>3.1974999999999898E-3</v>
      </c>
      <c r="W65">
        <v>3.4724999999999799E-3</v>
      </c>
      <c r="X65">
        <v>3.1762499999999898E-3</v>
      </c>
      <c r="Y65">
        <v>1.5125000000000099E-3</v>
      </c>
      <c r="Z65">
        <v>1.7599999999999901E-3</v>
      </c>
      <c r="AA65">
        <v>1.0449999999999999E-3</v>
      </c>
      <c r="AB65" s="2">
        <v>8.2500000000000596E-5</v>
      </c>
      <c r="AC65" s="2">
        <v>1.09999999999997E-4</v>
      </c>
      <c r="AD65">
        <v>298.57325788938999</v>
      </c>
      <c r="AE65">
        <v>298.58622728</v>
      </c>
      <c r="AF65">
        <v>-0.31293773780974499</v>
      </c>
      <c r="AG65">
        <v>-0.321512081060014</v>
      </c>
      <c r="AH65" s="7">
        <v>0.70277501377962504</v>
      </c>
      <c r="AI65" s="7">
        <v>0.71669179201126099</v>
      </c>
    </row>
    <row r="66" spans="1:35" x14ac:dyDescent="0.25">
      <c r="A66">
        <v>10</v>
      </c>
      <c r="B66" s="1">
        <v>45896</v>
      </c>
      <c r="C66" s="1">
        <v>45894</v>
      </c>
      <c r="D66" s="3">
        <f t="shared" si="0"/>
        <v>2</v>
      </c>
      <c r="E66" t="s">
        <v>36</v>
      </c>
      <c r="F66" t="s">
        <v>34</v>
      </c>
      <c r="G66">
        <v>37.21</v>
      </c>
      <c r="H66">
        <v>30</v>
      </c>
      <c r="I66" t="s">
        <v>35</v>
      </c>
      <c r="J66">
        <v>3</v>
      </c>
      <c r="K66">
        <v>16.199783</v>
      </c>
      <c r="L66">
        <v>1.21825064267352E-2</v>
      </c>
      <c r="M66">
        <v>3.1829276992287901E-2</v>
      </c>
      <c r="N66">
        <v>1.9867872750642598E-2</v>
      </c>
      <c r="O66">
        <v>1.2444251285346999E-2</v>
      </c>
      <c r="P66">
        <v>6.8907358611825101E-3</v>
      </c>
      <c r="Q66">
        <v>5.61661632390745E-3</v>
      </c>
      <c r="R66">
        <v>1.11725E-2</v>
      </c>
      <c r="S66">
        <v>3.1522500000000002E-2</v>
      </c>
      <c r="T66">
        <v>1.9807499999999999E-2</v>
      </c>
      <c r="U66">
        <v>1.22724999999999E-2</v>
      </c>
      <c r="V66">
        <v>6.9374999999999801E-3</v>
      </c>
      <c r="W66">
        <v>5.39749999999999E-3</v>
      </c>
      <c r="X66">
        <v>1.6198306667330601E-3</v>
      </c>
      <c r="Y66" s="2">
        <v>6.9907478538094002E-4</v>
      </c>
      <c r="Z66">
        <v>1.17412082948145E-3</v>
      </c>
      <c r="AA66">
        <v>1.022155266527E-3</v>
      </c>
      <c r="AB66" s="2">
        <v>6.8853810513450303E-4</v>
      </c>
      <c r="AC66" s="2">
        <v>3.0152621039564198E-4</v>
      </c>
      <c r="AD66">
        <v>299.571794455629</v>
      </c>
      <c r="AE66">
        <v>299.59454317999899</v>
      </c>
      <c r="AF66">
        <v>-0.23080831279267799</v>
      </c>
      <c r="AG66">
        <v>-0.234881546134663</v>
      </c>
      <c r="AH66" s="7">
        <v>0.64536708370492102</v>
      </c>
      <c r="AI66" s="7">
        <v>0.63923556942277704</v>
      </c>
    </row>
    <row r="67" spans="1:35" x14ac:dyDescent="0.25">
      <c r="A67">
        <v>11</v>
      </c>
      <c r="B67" s="1">
        <v>45896</v>
      </c>
      <c r="C67" s="1">
        <v>45894</v>
      </c>
      <c r="D67" s="3">
        <f t="shared" ref="D67:D130" si="1">B67-C67</f>
        <v>2</v>
      </c>
      <c r="E67" t="s">
        <v>36</v>
      </c>
      <c r="F67" t="s">
        <v>34</v>
      </c>
      <c r="G67">
        <v>37.21</v>
      </c>
      <c r="H67">
        <v>30</v>
      </c>
      <c r="I67" t="s">
        <v>35</v>
      </c>
      <c r="J67">
        <v>2</v>
      </c>
      <c r="K67">
        <v>19.467107000000002</v>
      </c>
      <c r="L67">
        <v>2.4977710459183601E-2</v>
      </c>
      <c r="M67">
        <v>4.2865092474489698E-2</v>
      </c>
      <c r="N67">
        <v>3.14753220663265E-2</v>
      </c>
      <c r="O67">
        <v>1.9758357780612201E-2</v>
      </c>
      <c r="P67">
        <v>1.01488616071428E-2</v>
      </c>
      <c r="Q67">
        <v>7.8057844387755104E-3</v>
      </c>
      <c r="R67">
        <v>2.4592499999999899E-2</v>
      </c>
      <c r="S67">
        <v>4.2439999999999999E-2</v>
      </c>
      <c r="T67">
        <v>3.1274999999999997E-2</v>
      </c>
      <c r="U67">
        <v>1.9504999999999901E-2</v>
      </c>
      <c r="V67">
        <v>1.02099999999999E-2</v>
      </c>
      <c r="W67">
        <v>7.7074999999999999E-3</v>
      </c>
      <c r="X67" s="2">
        <v>7.8374999999997804E-4</v>
      </c>
      <c r="Y67" s="2">
        <v>9.0749999999994101E-4</v>
      </c>
      <c r="Z67">
        <v>1.0999999999999799E-3</v>
      </c>
      <c r="AA67" s="2">
        <v>5.7750000000001897E-4</v>
      </c>
      <c r="AB67" s="2">
        <v>6.8749999999943693E-5</v>
      </c>
      <c r="AC67" s="2">
        <v>1.09999999999966E-4</v>
      </c>
      <c r="AD67">
        <v>299.84380577627502</v>
      </c>
      <c r="AE67">
        <v>299.77569824</v>
      </c>
      <c r="AF67">
        <v>-0.22871147683745299</v>
      </c>
      <c r="AG67">
        <v>-0.231103347339596</v>
      </c>
      <c r="AH67" s="7">
        <v>0.61717275200452104</v>
      </c>
      <c r="AI67" s="7">
        <v>0.62027594481103698</v>
      </c>
    </row>
    <row r="68" spans="1:35" x14ac:dyDescent="0.25">
      <c r="A68">
        <v>1</v>
      </c>
      <c r="B68" s="1">
        <v>45919</v>
      </c>
      <c r="C68" s="1">
        <v>45918</v>
      </c>
      <c r="D68" s="3">
        <f t="shared" si="1"/>
        <v>1</v>
      </c>
      <c r="E68" t="s">
        <v>33</v>
      </c>
      <c r="F68" t="s">
        <v>34</v>
      </c>
      <c r="G68">
        <v>0.04</v>
      </c>
      <c r="H68">
        <v>30</v>
      </c>
      <c r="I68" t="s">
        <v>35</v>
      </c>
      <c r="J68">
        <v>3</v>
      </c>
      <c r="K68">
        <v>18.287240000000001</v>
      </c>
      <c r="L68">
        <v>8.9677827191867801E-3</v>
      </c>
      <c r="M68">
        <v>3.4843430749682297E-2</v>
      </c>
      <c r="N68">
        <v>1.73442757306226E-2</v>
      </c>
      <c r="O68">
        <v>1.04791645489199E-2</v>
      </c>
      <c r="P68">
        <v>4.4636181702668301E-3</v>
      </c>
      <c r="Q68">
        <v>2.5089866581956698E-3</v>
      </c>
      <c r="R68">
        <v>9.1374999999999894E-3</v>
      </c>
      <c r="S68">
        <v>3.4932499999999998E-2</v>
      </c>
      <c r="T68">
        <v>1.7222500000000002E-2</v>
      </c>
      <c r="U68">
        <v>1.04025E-2</v>
      </c>
      <c r="V68">
        <v>4.4075E-3</v>
      </c>
      <c r="W68">
        <v>2.4824999999999899E-3</v>
      </c>
      <c r="X68" s="2">
        <v>6.49734988711202E-4</v>
      </c>
      <c r="Y68" s="2">
        <v>4.1219433119166698E-4</v>
      </c>
      <c r="Z68" s="2">
        <v>3.4857447793352499E-4</v>
      </c>
      <c r="AA68" s="2">
        <v>2.7223611075680702E-4</v>
      </c>
      <c r="AB68" s="2">
        <v>1.3534421138548201E-4</v>
      </c>
      <c r="AC68" s="2">
        <v>8.9814623902047705E-5</v>
      </c>
      <c r="AD68">
        <v>297.40418302165102</v>
      </c>
      <c r="AE68">
        <v>297.37283017999999</v>
      </c>
      <c r="AF68">
        <v>-0.24683233111719599</v>
      </c>
      <c r="AG68">
        <v>-0.24841213832039499</v>
      </c>
      <c r="AH68" s="7">
        <v>0.77298204915951096</v>
      </c>
      <c r="AI68" s="7">
        <v>0.77592780884595702</v>
      </c>
    </row>
    <row r="69" spans="1:35" x14ac:dyDescent="0.25">
      <c r="A69">
        <v>2</v>
      </c>
      <c r="B69" s="1">
        <v>45919</v>
      </c>
      <c r="C69" s="1">
        <v>45918</v>
      </c>
      <c r="D69" s="3">
        <f t="shared" si="1"/>
        <v>1</v>
      </c>
      <c r="E69" t="s">
        <v>33</v>
      </c>
      <c r="F69" t="s">
        <v>34</v>
      </c>
      <c r="G69">
        <v>0.04</v>
      </c>
      <c r="H69">
        <v>30</v>
      </c>
      <c r="I69" t="s">
        <v>35</v>
      </c>
      <c r="J69">
        <v>2</v>
      </c>
      <c r="K69">
        <v>7.8197019999999995</v>
      </c>
      <c r="L69">
        <v>1.07225031887755E-2</v>
      </c>
      <c r="M69">
        <v>3.7672222576530599E-2</v>
      </c>
      <c r="N69">
        <v>1.8481536989795901E-2</v>
      </c>
      <c r="O69">
        <v>8.9830931122449002E-3</v>
      </c>
      <c r="P69">
        <v>3.4758322704081602E-3</v>
      </c>
      <c r="Q69">
        <v>1.9502487244897799E-3</v>
      </c>
      <c r="R69">
        <v>1.07049999999999E-2</v>
      </c>
      <c r="S69">
        <v>3.7847499999999999E-2</v>
      </c>
      <c r="T69">
        <v>1.8515E-2</v>
      </c>
      <c r="U69">
        <v>8.9587499999999997E-3</v>
      </c>
      <c r="V69">
        <v>3.5000000000000001E-3</v>
      </c>
      <c r="W69">
        <v>1.93249999999998E-3</v>
      </c>
      <c r="X69" s="2">
        <v>6.8750000000042207E-5</v>
      </c>
      <c r="Y69" s="2">
        <v>2.2000000000005601E-4</v>
      </c>
      <c r="Z69" s="2">
        <v>9.6250000000182995E-5</v>
      </c>
      <c r="AA69" s="2">
        <v>9.62499999999014E-5</v>
      </c>
      <c r="AB69" s="2">
        <v>9.6249999999989397E-5</v>
      </c>
      <c r="AC69" s="2">
        <v>8.2499999999997994E-5</v>
      </c>
      <c r="AD69">
        <v>297.45645831729502</v>
      </c>
      <c r="AE69">
        <v>297.42751850000002</v>
      </c>
      <c r="AF69">
        <v>-0.34581311581447099</v>
      </c>
      <c r="AG69">
        <v>-0.34662379421221801</v>
      </c>
      <c r="AH69" s="7">
        <v>0.83109898603895604</v>
      </c>
      <c r="AI69" s="7">
        <v>0.83171054213246698</v>
      </c>
    </row>
    <row r="70" spans="1:35" x14ac:dyDescent="0.25">
      <c r="A70">
        <v>3</v>
      </c>
      <c r="B70" s="1">
        <v>45919</v>
      </c>
      <c r="C70" s="1">
        <v>45918</v>
      </c>
      <c r="D70" s="3">
        <f t="shared" si="1"/>
        <v>1</v>
      </c>
      <c r="E70" t="s">
        <v>33</v>
      </c>
      <c r="F70" t="s">
        <v>34</v>
      </c>
      <c r="G70">
        <v>0.04</v>
      </c>
      <c r="H70">
        <v>30</v>
      </c>
      <c r="I70" t="s">
        <v>35</v>
      </c>
      <c r="J70">
        <v>3</v>
      </c>
      <c r="K70">
        <v>7.063377</v>
      </c>
      <c r="L70">
        <v>1.2693059748427601E-2</v>
      </c>
      <c r="M70">
        <v>3.9423959119496803E-2</v>
      </c>
      <c r="N70">
        <v>2.03943742138364E-2</v>
      </c>
      <c r="O70">
        <v>8.4847641509433903E-3</v>
      </c>
      <c r="P70">
        <v>2.7459811320754601E-3</v>
      </c>
      <c r="Q70">
        <v>1.4215188679245201E-3</v>
      </c>
      <c r="R70">
        <v>1.2685E-2</v>
      </c>
      <c r="S70">
        <v>3.96074999999999E-2</v>
      </c>
      <c r="T70">
        <v>2.03849999999999E-2</v>
      </c>
      <c r="U70">
        <v>8.5874999999999892E-3</v>
      </c>
      <c r="V70">
        <v>2.75749999999999E-3</v>
      </c>
      <c r="W70">
        <v>1.3825E-3</v>
      </c>
      <c r="X70" s="2">
        <v>2.8608225312929498E-4</v>
      </c>
      <c r="Y70" s="2">
        <v>1.4950380894394199E-4</v>
      </c>
      <c r="Z70" s="2">
        <v>1.57175591828656E-4</v>
      </c>
      <c r="AA70" s="2">
        <v>1.6852711618278301E-4</v>
      </c>
      <c r="AB70" s="2">
        <v>3.8890872965269999E-5</v>
      </c>
      <c r="AC70" s="2">
        <v>1.02895578136278E-4</v>
      </c>
      <c r="AD70">
        <v>297.69819988762202</v>
      </c>
      <c r="AE70">
        <v>297.70096009999997</v>
      </c>
      <c r="AF70">
        <v>-0.41239081851989601</v>
      </c>
      <c r="AG70">
        <v>-0.41055341055340999</v>
      </c>
      <c r="AH70" s="7">
        <v>0.86975474973458999</v>
      </c>
      <c r="AI70" s="7">
        <v>0.86982178685235401</v>
      </c>
    </row>
    <row r="71" spans="1:35" x14ac:dyDescent="0.25">
      <c r="A71">
        <v>4</v>
      </c>
      <c r="B71" s="1">
        <v>45919</v>
      </c>
      <c r="C71" s="1">
        <v>45918</v>
      </c>
      <c r="D71" s="3">
        <f t="shared" si="1"/>
        <v>1</v>
      </c>
      <c r="E71" t="s">
        <v>33</v>
      </c>
      <c r="F71" t="s">
        <v>34</v>
      </c>
      <c r="G71">
        <v>0.04</v>
      </c>
      <c r="H71">
        <v>30</v>
      </c>
      <c r="I71" t="s">
        <v>35</v>
      </c>
      <c r="J71">
        <v>3</v>
      </c>
      <c r="K71">
        <v>9.6348820000000011</v>
      </c>
      <c r="L71">
        <v>1.26703863065326E-2</v>
      </c>
      <c r="M71">
        <v>3.9257289572864298E-2</v>
      </c>
      <c r="N71">
        <v>2.0621997487437101E-2</v>
      </c>
      <c r="O71">
        <v>8.7094535175879298E-3</v>
      </c>
      <c r="P71">
        <v>2.47617776381908E-3</v>
      </c>
      <c r="Q71">
        <v>1.31416457286432E-3</v>
      </c>
      <c r="R71">
        <v>1.26574999999999E-2</v>
      </c>
      <c r="S71">
        <v>3.9305E-2</v>
      </c>
      <c r="T71">
        <v>2.0604999999999901E-2</v>
      </c>
      <c r="U71">
        <v>8.8074999999999907E-3</v>
      </c>
      <c r="V71">
        <v>2.42749999999999E-3</v>
      </c>
      <c r="W71">
        <v>1.3549999999999899E-3</v>
      </c>
      <c r="X71" s="2">
        <v>1.91844120750781E-4</v>
      </c>
      <c r="Y71" s="2">
        <v>2.8134350297590299E-4</v>
      </c>
      <c r="Z71" s="2">
        <v>1.23665094329695E-4</v>
      </c>
      <c r="AA71" s="2">
        <v>9.7873217310312096E-5</v>
      </c>
      <c r="AB71" s="2">
        <v>2.03739348733186E-4</v>
      </c>
      <c r="AC71" s="2">
        <v>2.21142864833274E-4</v>
      </c>
      <c r="AD71">
        <v>297.69236781605503</v>
      </c>
      <c r="AE71">
        <v>297.70779614000003</v>
      </c>
      <c r="AF71">
        <v>-0.40613762747992799</v>
      </c>
      <c r="AG71">
        <v>-0.399796195652173</v>
      </c>
      <c r="AH71" s="7">
        <v>0.88138605467097397</v>
      </c>
      <c r="AI71" s="7">
        <v>0.88472725114263595</v>
      </c>
    </row>
    <row r="72" spans="1:35" x14ac:dyDescent="0.25">
      <c r="A72">
        <v>5</v>
      </c>
      <c r="B72" s="1">
        <v>45919</v>
      </c>
      <c r="C72" s="1">
        <v>45918</v>
      </c>
      <c r="D72" s="3">
        <f t="shared" si="1"/>
        <v>1</v>
      </c>
      <c r="E72" t="s">
        <v>33</v>
      </c>
      <c r="F72" t="s">
        <v>34</v>
      </c>
      <c r="G72">
        <v>0.04</v>
      </c>
      <c r="H72">
        <v>30</v>
      </c>
      <c r="I72" t="s">
        <v>35</v>
      </c>
      <c r="J72">
        <v>3</v>
      </c>
      <c r="K72">
        <v>12.962712000000002</v>
      </c>
      <c r="L72">
        <v>7.6792341772151801E-3</v>
      </c>
      <c r="M72">
        <v>2.8592079113924002E-2</v>
      </c>
      <c r="N72">
        <v>1.5888889240506299E-2</v>
      </c>
      <c r="O72">
        <v>7.2121867088607503E-3</v>
      </c>
      <c r="P72">
        <v>2.5553924050632799E-3</v>
      </c>
      <c r="Q72">
        <v>1.3645379746835399E-3</v>
      </c>
      <c r="R72">
        <v>7.4599999999999901E-3</v>
      </c>
      <c r="S72">
        <v>2.8497499999999999E-2</v>
      </c>
      <c r="T72">
        <v>1.57924999999999E-2</v>
      </c>
      <c r="U72">
        <v>7.2124999999999802E-3</v>
      </c>
      <c r="V72">
        <v>2.5099999999999801E-3</v>
      </c>
      <c r="W72">
        <v>1.3549999999999899E-3</v>
      </c>
      <c r="X72" s="2">
        <v>6.3680299587514798E-4</v>
      </c>
      <c r="Y72" s="2">
        <v>4.3904410054365303E-4</v>
      </c>
      <c r="Z72" s="2">
        <v>3.7370331369506799E-4</v>
      </c>
      <c r="AA72" s="2">
        <v>2.21142864833267E-4</v>
      </c>
      <c r="AB72" s="2">
        <v>1.70016339084088E-4</v>
      </c>
      <c r="AC72" s="2">
        <v>1.7822036920620899E-4</v>
      </c>
      <c r="AD72">
        <v>297.58750779564502</v>
      </c>
      <c r="AE72">
        <v>297.57791137999999</v>
      </c>
      <c r="AF72">
        <v>-0.37570137319089197</v>
      </c>
      <c r="AG72">
        <v>-0.37389844733529098</v>
      </c>
      <c r="AH72" s="7">
        <v>0.83603204516519403</v>
      </c>
      <c r="AI72" s="7">
        <v>0.83629836457917905</v>
      </c>
    </row>
    <row r="73" spans="1:35" x14ac:dyDescent="0.25">
      <c r="A73">
        <v>6</v>
      </c>
      <c r="B73" s="1">
        <v>45919</v>
      </c>
      <c r="C73" s="1">
        <v>45918</v>
      </c>
      <c r="D73" s="3">
        <f t="shared" si="1"/>
        <v>1</v>
      </c>
      <c r="E73" t="s">
        <v>33</v>
      </c>
      <c r="F73" t="s">
        <v>34</v>
      </c>
      <c r="G73">
        <v>0.04</v>
      </c>
      <c r="H73">
        <v>30</v>
      </c>
      <c r="I73" t="s">
        <v>35</v>
      </c>
      <c r="J73">
        <v>3</v>
      </c>
      <c r="K73">
        <v>4.219595</v>
      </c>
      <c r="L73">
        <v>1.0296728081321401E-2</v>
      </c>
      <c r="M73">
        <v>3.70711753494282E-2</v>
      </c>
      <c r="N73">
        <v>1.8862191867852599E-2</v>
      </c>
      <c r="O73">
        <v>9.0170870393900798E-3</v>
      </c>
      <c r="P73">
        <v>3.1218837357052001E-3</v>
      </c>
      <c r="Q73">
        <v>1.74345933926302E-3</v>
      </c>
      <c r="R73">
        <v>1.0484999999999901E-2</v>
      </c>
      <c r="S73">
        <v>3.6912499999999897E-2</v>
      </c>
      <c r="T73">
        <v>1.8982499999999899E-2</v>
      </c>
      <c r="U73">
        <v>9.0274999999999904E-3</v>
      </c>
      <c r="V73">
        <v>3.1150000000000001E-3</v>
      </c>
      <c r="W73">
        <v>1.73999999999999E-3</v>
      </c>
      <c r="X73" s="2">
        <v>4.4171540611576799E-4</v>
      </c>
      <c r="Y73" s="2">
        <v>2.3442305062982901E-4</v>
      </c>
      <c r="Z73" s="2">
        <v>4.5075399794860702E-4</v>
      </c>
      <c r="AA73" s="2">
        <v>2.8253564180273698E-4</v>
      </c>
      <c r="AB73" s="2">
        <v>4.6741012207933698E-5</v>
      </c>
      <c r="AC73" s="2">
        <v>1.4022303662379699E-4</v>
      </c>
      <c r="AD73">
        <v>297.75687751740702</v>
      </c>
      <c r="AE73">
        <v>297.75564842</v>
      </c>
      <c r="AF73">
        <v>-0.35321832868835601</v>
      </c>
      <c r="AG73">
        <v>-0.36102354904505901</v>
      </c>
      <c r="AH73" s="7">
        <v>0.84465710156263796</v>
      </c>
      <c r="AI73" s="7">
        <v>0.84562499999999996</v>
      </c>
    </row>
    <row r="74" spans="1:35" x14ac:dyDescent="0.25">
      <c r="A74">
        <v>7</v>
      </c>
      <c r="B74" s="1">
        <v>45919</v>
      </c>
      <c r="C74" s="1">
        <v>45918</v>
      </c>
      <c r="D74" s="3">
        <f t="shared" si="1"/>
        <v>1</v>
      </c>
      <c r="E74" t="s">
        <v>33</v>
      </c>
      <c r="F74" t="s">
        <v>34</v>
      </c>
      <c r="G74">
        <v>0.04</v>
      </c>
      <c r="H74">
        <v>30</v>
      </c>
      <c r="I74" t="s">
        <v>35</v>
      </c>
      <c r="J74">
        <v>3</v>
      </c>
      <c r="K74">
        <v>10.814749000000001</v>
      </c>
      <c r="L74">
        <v>6.0642622950819597E-3</v>
      </c>
      <c r="M74">
        <v>2.7887298234552299E-2</v>
      </c>
      <c r="N74">
        <v>1.34893663303909E-2</v>
      </c>
      <c r="O74">
        <v>6.1868852459016303E-3</v>
      </c>
      <c r="P74">
        <v>1.91901008827237E-3</v>
      </c>
      <c r="Q74">
        <v>1.1853877679697299E-3</v>
      </c>
      <c r="R74">
        <v>6.1124999999999903E-3</v>
      </c>
      <c r="S74">
        <v>2.7782499999999901E-2</v>
      </c>
      <c r="T74">
        <v>1.34825E-2</v>
      </c>
      <c r="U74">
        <v>6.33249999999999E-3</v>
      </c>
      <c r="V74">
        <v>1.95999999999998E-3</v>
      </c>
      <c r="W74">
        <v>1.13499999999999E-3</v>
      </c>
      <c r="X74" s="2">
        <v>1.25016665555699E-4</v>
      </c>
      <c r="Y74" s="2">
        <v>5.1854497287026697E-5</v>
      </c>
      <c r="Z74" s="2">
        <v>5.9406789735344503E-5</v>
      </c>
      <c r="AA74" s="2">
        <v>3.3101695156323799E-4</v>
      </c>
      <c r="AB74" s="2">
        <v>9.3482024415864496E-5</v>
      </c>
      <c r="AC74" s="2">
        <v>6.85970520908546E-5</v>
      </c>
      <c r="AD74">
        <v>296.88685497573698</v>
      </c>
      <c r="AE74">
        <v>296.89430737999999</v>
      </c>
      <c r="AF74">
        <v>-0.37146845486406199</v>
      </c>
      <c r="AG74">
        <v>-0.36083774917991501</v>
      </c>
      <c r="AH74" s="7">
        <v>0.87125205641646497</v>
      </c>
      <c r="AI74" s="7">
        <v>0.86868771459676797</v>
      </c>
    </row>
    <row r="75" spans="1:35" x14ac:dyDescent="0.25">
      <c r="A75">
        <v>8</v>
      </c>
      <c r="B75" s="1">
        <v>45919</v>
      </c>
      <c r="C75" s="1">
        <v>45918</v>
      </c>
      <c r="D75" s="3">
        <f t="shared" si="1"/>
        <v>1</v>
      </c>
      <c r="E75" t="s">
        <v>33</v>
      </c>
      <c r="F75" t="s">
        <v>34</v>
      </c>
      <c r="G75">
        <v>0.04</v>
      </c>
      <c r="H75">
        <v>30</v>
      </c>
      <c r="I75" t="s">
        <v>35</v>
      </c>
      <c r="J75">
        <v>3</v>
      </c>
      <c r="K75">
        <v>12.871953000000001</v>
      </c>
      <c r="L75">
        <v>6.2168402777777699E-3</v>
      </c>
      <c r="M75">
        <v>2.84475694444444E-2</v>
      </c>
      <c r="N75">
        <v>1.34955902777777E-2</v>
      </c>
      <c r="O75">
        <v>6.6656597222222204E-3</v>
      </c>
      <c r="P75">
        <v>2.5201736111111002E-3</v>
      </c>
      <c r="Q75">
        <v>1.7698611111111101E-3</v>
      </c>
      <c r="R75">
        <v>6.1674999999999898E-3</v>
      </c>
      <c r="S75">
        <v>2.8469999999999902E-2</v>
      </c>
      <c r="T75">
        <v>1.34825E-2</v>
      </c>
      <c r="U75">
        <v>6.7450000000000001E-3</v>
      </c>
      <c r="V75">
        <v>2.6474999999999901E-3</v>
      </c>
      <c r="W75">
        <v>1.7675E-3</v>
      </c>
      <c r="X75" s="2">
        <v>8.67304252651094E-4</v>
      </c>
      <c r="Y75" s="2">
        <v>3.03747427972712E-4</v>
      </c>
      <c r="Z75" s="2">
        <v>1.6852711618281E-4</v>
      </c>
      <c r="AA75" s="2">
        <v>4.49260194344252E-4</v>
      </c>
      <c r="AB75" s="2">
        <v>2.5502450862612599E-4</v>
      </c>
      <c r="AC75" s="2">
        <v>1.10761254757955E-4</v>
      </c>
      <c r="AD75">
        <v>297.37024508658999</v>
      </c>
      <c r="AE75">
        <v>297.37966621999999</v>
      </c>
      <c r="AF75">
        <v>-0.33926484184126099</v>
      </c>
      <c r="AG75">
        <v>-0.33308614509949303</v>
      </c>
      <c r="AH75" s="7">
        <v>0.83743500313809005</v>
      </c>
      <c r="AI75" s="7">
        <v>0.83147676639083401</v>
      </c>
    </row>
    <row r="76" spans="1:35" x14ac:dyDescent="0.25">
      <c r="A76">
        <v>9</v>
      </c>
      <c r="B76" s="1">
        <v>45919</v>
      </c>
      <c r="C76" s="1">
        <v>45918</v>
      </c>
      <c r="D76" s="3">
        <f t="shared" si="1"/>
        <v>1</v>
      </c>
      <c r="E76" t="s">
        <v>33</v>
      </c>
      <c r="F76" t="s">
        <v>34</v>
      </c>
      <c r="G76">
        <v>0.04</v>
      </c>
      <c r="H76">
        <v>30</v>
      </c>
      <c r="I76" t="s">
        <v>35</v>
      </c>
      <c r="J76">
        <v>2</v>
      </c>
      <c r="K76">
        <v>8.4247620000000012</v>
      </c>
      <c r="L76">
        <v>6.0234390862944102E-3</v>
      </c>
      <c r="M76">
        <v>2.8541088197969501E-2</v>
      </c>
      <c r="N76">
        <v>1.3333239213197901E-2</v>
      </c>
      <c r="O76">
        <v>6.2768020304568399E-3</v>
      </c>
      <c r="P76">
        <v>2.2054409898476998E-3</v>
      </c>
      <c r="Q76">
        <v>1.6098984771573601E-3</v>
      </c>
      <c r="R76">
        <v>6.0024999999999896E-3</v>
      </c>
      <c r="S76">
        <v>2.8359999999999899E-2</v>
      </c>
      <c r="T76">
        <v>1.31524999999999E-2</v>
      </c>
      <c r="U76">
        <v>6.2224999999999902E-3</v>
      </c>
      <c r="V76">
        <v>2.3449999999999799E-3</v>
      </c>
      <c r="W76">
        <v>1.6025E-3</v>
      </c>
      <c r="X76" s="2">
        <v>1.3749999999998499E-4</v>
      </c>
      <c r="Y76" s="2">
        <v>1.23749999999935E-4</v>
      </c>
      <c r="Z76" s="2">
        <v>1.37500000001267E-5</v>
      </c>
      <c r="AA76" s="2">
        <v>5.4999999999952399E-5</v>
      </c>
      <c r="AB76" s="2">
        <v>2.19999999999998E-4</v>
      </c>
      <c r="AC76" s="2">
        <v>1.2375000000000599E-4</v>
      </c>
      <c r="AD76">
        <v>297.41685236906</v>
      </c>
      <c r="AE76">
        <v>297.43777255999998</v>
      </c>
      <c r="AF76">
        <v>-0.36037744340379402</v>
      </c>
      <c r="AG76">
        <v>-0.35767741935483799</v>
      </c>
      <c r="AH76" s="7">
        <v>0.85675455641083698</v>
      </c>
      <c r="AI76" s="7">
        <v>0.84725614720729603</v>
      </c>
    </row>
    <row r="77" spans="1:35" x14ac:dyDescent="0.25">
      <c r="A77">
        <v>10</v>
      </c>
      <c r="B77" s="1">
        <v>45919</v>
      </c>
      <c r="C77" s="1">
        <v>45918</v>
      </c>
      <c r="D77" s="3">
        <f t="shared" si="1"/>
        <v>1</v>
      </c>
      <c r="E77" t="s">
        <v>33</v>
      </c>
      <c r="F77" t="s">
        <v>34</v>
      </c>
      <c r="G77">
        <v>0.04</v>
      </c>
      <c r="H77">
        <v>30</v>
      </c>
      <c r="I77" t="s">
        <v>35</v>
      </c>
      <c r="J77">
        <v>3</v>
      </c>
      <c r="K77">
        <v>24.126069000000005</v>
      </c>
      <c r="L77">
        <v>5.60728470437016E-3</v>
      </c>
      <c r="M77">
        <v>2.7074498714652898E-2</v>
      </c>
      <c r="N77">
        <v>1.36366838046272E-2</v>
      </c>
      <c r="O77">
        <v>6.8417802056555104E-3</v>
      </c>
      <c r="P77">
        <v>2.9568219794344399E-3</v>
      </c>
      <c r="Q77">
        <v>2.1380784061696499E-3</v>
      </c>
      <c r="R77">
        <v>5.6449999999999799E-3</v>
      </c>
      <c r="S77">
        <v>2.682E-2</v>
      </c>
      <c r="T77">
        <v>1.36475E-2</v>
      </c>
      <c r="U77">
        <v>6.5524999999999802E-3</v>
      </c>
      <c r="V77">
        <v>2.9774999999999901E-3</v>
      </c>
      <c r="W77">
        <v>2.1524999999999999E-3</v>
      </c>
      <c r="X77" s="2">
        <v>3.7190015087685798E-4</v>
      </c>
      <c r="Y77" s="2">
        <v>5.0224634283267005E-4</v>
      </c>
      <c r="Z77" s="2">
        <v>3.4518312370228701E-4</v>
      </c>
      <c r="AA77" s="2">
        <v>4.5372685126136402E-4</v>
      </c>
      <c r="AB77" s="2">
        <v>1.5556349186103999E-4</v>
      </c>
      <c r="AC77" s="2">
        <v>2.2453655975505601E-5</v>
      </c>
      <c r="AD77">
        <v>297.669464231902</v>
      </c>
      <c r="AE77">
        <v>297.65310782</v>
      </c>
      <c r="AF77">
        <v>-0.332139984902385</v>
      </c>
      <c r="AG77">
        <v>-0.34857710948179499</v>
      </c>
      <c r="AH77" s="7">
        <v>0.80326612051239898</v>
      </c>
      <c r="AI77" s="7">
        <v>0.79922454484153704</v>
      </c>
    </row>
    <row r="78" spans="1:35" x14ac:dyDescent="0.25">
      <c r="A78">
        <v>11</v>
      </c>
      <c r="B78" s="1">
        <v>45919</v>
      </c>
      <c r="C78" s="1">
        <v>45918</v>
      </c>
      <c r="D78" s="3">
        <f t="shared" si="1"/>
        <v>1</v>
      </c>
      <c r="E78" t="s">
        <v>33</v>
      </c>
      <c r="F78" t="s">
        <v>34</v>
      </c>
      <c r="G78">
        <v>0.04</v>
      </c>
      <c r="H78">
        <v>30</v>
      </c>
      <c r="I78" t="s">
        <v>35</v>
      </c>
      <c r="J78">
        <v>2</v>
      </c>
      <c r="K78">
        <v>14.929157000000002</v>
      </c>
      <c r="L78">
        <v>7.1088488520408104E-3</v>
      </c>
      <c r="M78">
        <v>2.72248883928571E-2</v>
      </c>
      <c r="N78">
        <v>1.48281058673469E-2</v>
      </c>
      <c r="O78">
        <v>8.1242793367346799E-3</v>
      </c>
      <c r="P78">
        <v>3.69593749999999E-3</v>
      </c>
      <c r="Q78">
        <v>2.5778380102040701E-3</v>
      </c>
      <c r="R78">
        <v>7.3499999999999902E-3</v>
      </c>
      <c r="S78">
        <v>2.7535E-2</v>
      </c>
      <c r="T78">
        <v>1.4995E-2</v>
      </c>
      <c r="U78">
        <v>8.2849999999999799E-3</v>
      </c>
      <c r="V78">
        <v>3.7750000000000001E-3</v>
      </c>
      <c r="W78">
        <v>2.5649999999999801E-3</v>
      </c>
      <c r="X78" s="2">
        <v>4.6749999999999602E-4</v>
      </c>
      <c r="Y78" s="2">
        <v>5.6374999999993095E-4</v>
      </c>
      <c r="Z78" s="2">
        <v>3.02500000000055E-4</v>
      </c>
      <c r="AA78" s="2">
        <v>5.5000000000000502E-4</v>
      </c>
      <c r="AB78" s="2">
        <v>2.6124999999999201E-4</v>
      </c>
      <c r="AC78" s="2">
        <v>8.2500000000000596E-5</v>
      </c>
      <c r="AD78">
        <v>298.95348568150501</v>
      </c>
      <c r="AE78">
        <v>298.801562539999</v>
      </c>
      <c r="AF78">
        <v>-0.29261289464090701</v>
      </c>
      <c r="AG78">
        <v>-0.29240952279278298</v>
      </c>
      <c r="AH78" s="7">
        <v>0.76110289627708805</v>
      </c>
      <c r="AI78" s="7">
        <v>0.75424066257864197</v>
      </c>
    </row>
    <row r="79" spans="1:35" x14ac:dyDescent="0.25">
      <c r="A79">
        <v>1</v>
      </c>
      <c r="B79" s="1">
        <v>45405</v>
      </c>
      <c r="C79" s="1">
        <v>45398</v>
      </c>
      <c r="D79" s="3">
        <f t="shared" si="1"/>
        <v>7</v>
      </c>
      <c r="E79" t="s">
        <v>36</v>
      </c>
      <c r="F79" t="s">
        <v>34</v>
      </c>
      <c r="G79">
        <v>8.9499999999999993</v>
      </c>
      <c r="H79">
        <v>30</v>
      </c>
      <c r="I79" t="s">
        <v>35</v>
      </c>
      <c r="J79">
        <v>3</v>
      </c>
      <c r="K79" s="4">
        <v>4.13</v>
      </c>
      <c r="L79">
        <v>1.3314739517153701E-2</v>
      </c>
      <c r="M79">
        <v>3.0955447903430699E-2</v>
      </c>
      <c r="N79">
        <v>1.892250317662E-2</v>
      </c>
      <c r="O79">
        <v>8.3282592121982097E-3</v>
      </c>
      <c r="P79">
        <v>6.0899968233799201E-3</v>
      </c>
      <c r="Q79">
        <v>4.1761785260482701E-3</v>
      </c>
      <c r="R79">
        <v>1.34275E-2</v>
      </c>
      <c r="S79">
        <v>3.0724999999999999E-2</v>
      </c>
      <c r="T79">
        <v>1.8679999999999999E-2</v>
      </c>
      <c r="U79">
        <v>8.3674999999999999E-3</v>
      </c>
      <c r="V79">
        <v>6.0299999999999998E-3</v>
      </c>
      <c r="W79">
        <v>4.1874999999999803E-3</v>
      </c>
      <c r="X79" s="2">
        <v>8.2571265515850203E-4</v>
      </c>
      <c r="Y79" s="2">
        <v>4.7045633874635601E-4</v>
      </c>
      <c r="Z79" s="2">
        <v>3.2486749435552099E-4</v>
      </c>
      <c r="AA79" s="2">
        <v>2.5502450862610799E-4</v>
      </c>
      <c r="AB79" s="2">
        <v>1.3534421138547401E-4</v>
      </c>
      <c r="AC79" s="2">
        <v>1.4435681102354701E-4</v>
      </c>
      <c r="AD79">
        <v>291.26510205532401</v>
      </c>
      <c r="AE79">
        <v>291.3263528</v>
      </c>
      <c r="AF79">
        <v>-0.38890144159858098</v>
      </c>
      <c r="AG79">
        <v>-0.39186757826556301</v>
      </c>
      <c r="AH79" s="7">
        <v>0.67121753214784596</v>
      </c>
      <c r="AI79" s="7">
        <v>0.67753072780002699</v>
      </c>
    </row>
    <row r="80" spans="1:35" x14ac:dyDescent="0.25">
      <c r="A80">
        <v>2</v>
      </c>
      <c r="B80" s="1">
        <v>45405</v>
      </c>
      <c r="C80" s="1">
        <v>45398</v>
      </c>
      <c r="D80" s="3">
        <f t="shared" si="1"/>
        <v>7</v>
      </c>
      <c r="E80" t="s">
        <v>36</v>
      </c>
      <c r="F80" t="s">
        <v>34</v>
      </c>
      <c r="G80">
        <v>8.9499999999999993</v>
      </c>
      <c r="H80">
        <v>30</v>
      </c>
      <c r="I80" t="s">
        <v>35</v>
      </c>
      <c r="J80">
        <v>2</v>
      </c>
      <c r="K80" s="4">
        <v>4.6399999999999997</v>
      </c>
      <c r="L80">
        <v>1.34669961734693E-2</v>
      </c>
      <c r="M80">
        <v>3.13073054846938E-2</v>
      </c>
      <c r="N80">
        <v>1.9300328443877499E-2</v>
      </c>
      <c r="O80">
        <v>7.4029655612244801E-3</v>
      </c>
      <c r="P80">
        <v>5.2024744897959099E-3</v>
      </c>
      <c r="Q80">
        <v>3.5935140306122401E-3</v>
      </c>
      <c r="R80">
        <v>1.349625E-2</v>
      </c>
      <c r="S80">
        <v>3.12887499999999E-2</v>
      </c>
      <c r="T80">
        <v>1.92437499999999E-2</v>
      </c>
      <c r="U80">
        <v>7.37749999999999E-3</v>
      </c>
      <c r="V80">
        <v>5.2049999999999796E-3</v>
      </c>
      <c r="W80">
        <v>3.6374999999999802E-3</v>
      </c>
      <c r="X80" s="2">
        <v>1.78749999999979E-4</v>
      </c>
      <c r="Y80" s="2">
        <v>4.1250000000708702E-5</v>
      </c>
      <c r="Z80" s="2">
        <v>8.2499999999774702E-5</v>
      </c>
      <c r="AA80" s="2">
        <v>1.10000000000028E-4</v>
      </c>
      <c r="AB80" s="2">
        <v>4.1250000000010503E-5</v>
      </c>
      <c r="AC80" s="2">
        <v>6.8750000000017595E-5</v>
      </c>
      <c r="AD80">
        <v>291.16997838499998</v>
      </c>
      <c r="AE80">
        <v>291.153742789999</v>
      </c>
      <c r="AF80">
        <v>-0.44557679837311898</v>
      </c>
      <c r="AG80">
        <v>-0.443607588902659</v>
      </c>
      <c r="AH80" s="7">
        <v>0.71499335539990105</v>
      </c>
      <c r="AI80" s="7">
        <v>0.71506774325988798</v>
      </c>
    </row>
    <row r="81" spans="1:35" x14ac:dyDescent="0.25">
      <c r="A81">
        <v>3</v>
      </c>
      <c r="B81" s="1">
        <v>45405</v>
      </c>
      <c r="C81" s="1">
        <v>45398</v>
      </c>
      <c r="D81" s="3">
        <f t="shared" si="1"/>
        <v>7</v>
      </c>
      <c r="E81" t="s">
        <v>36</v>
      </c>
      <c r="F81" t="s">
        <v>34</v>
      </c>
      <c r="G81">
        <v>8.9499999999999993</v>
      </c>
      <c r="H81">
        <v>30</v>
      </c>
      <c r="I81" t="s">
        <v>35</v>
      </c>
      <c r="J81">
        <v>3</v>
      </c>
      <c r="K81" s="4">
        <v>4.3</v>
      </c>
      <c r="L81">
        <v>1.8752261006289302E-2</v>
      </c>
      <c r="M81">
        <v>3.4330232704402497E-2</v>
      </c>
      <c r="N81">
        <v>2.2165547169811301E-2</v>
      </c>
      <c r="O81">
        <v>8.6483459119496703E-3</v>
      </c>
      <c r="P81">
        <v>4.5994811320754702E-3</v>
      </c>
      <c r="Q81">
        <v>3.0295943396226399E-3</v>
      </c>
      <c r="R81">
        <v>1.8707499999999901E-2</v>
      </c>
      <c r="S81">
        <v>3.4519999999999898E-2</v>
      </c>
      <c r="T81">
        <v>2.2034999999999999E-2</v>
      </c>
      <c r="U81">
        <v>8.6149999999999803E-3</v>
      </c>
      <c r="V81">
        <v>4.5725000000000002E-3</v>
      </c>
      <c r="W81">
        <v>3.0324999999999901E-3</v>
      </c>
      <c r="X81" s="2">
        <v>1.23665094329403E-4</v>
      </c>
      <c r="Y81" s="2">
        <v>2.0373934873299201E-4</v>
      </c>
      <c r="Z81" s="2">
        <v>1.6243374717781601E-4</v>
      </c>
      <c r="AA81" s="2">
        <v>9.5052712239293101E-11</v>
      </c>
      <c r="AB81" s="2">
        <v>9.3482024415867505E-5</v>
      </c>
      <c r="AC81" s="2">
        <v>3.4298526045403597E-5</v>
      </c>
      <c r="AD81">
        <v>290.59659908090498</v>
      </c>
      <c r="AE81">
        <v>290.60173255999899</v>
      </c>
      <c r="AF81">
        <v>-0.43870459073371798</v>
      </c>
      <c r="AG81">
        <v>-0.43784665579119098</v>
      </c>
      <c r="AH81" s="7">
        <v>0.76371008326706702</v>
      </c>
      <c r="AI81" s="7">
        <v>0.76558344684439195</v>
      </c>
    </row>
    <row r="82" spans="1:35" x14ac:dyDescent="0.25">
      <c r="A82">
        <v>4</v>
      </c>
      <c r="B82" s="1">
        <v>45405</v>
      </c>
      <c r="C82" s="1">
        <v>45398</v>
      </c>
      <c r="D82" s="3">
        <f t="shared" si="1"/>
        <v>7</v>
      </c>
      <c r="E82" t="s">
        <v>36</v>
      </c>
      <c r="F82" t="s">
        <v>34</v>
      </c>
      <c r="G82">
        <v>8.9499999999999993</v>
      </c>
      <c r="H82">
        <v>30</v>
      </c>
      <c r="I82" t="s">
        <v>35</v>
      </c>
      <c r="J82">
        <v>3</v>
      </c>
      <c r="K82" s="4">
        <v>4.51</v>
      </c>
      <c r="L82">
        <v>1.9907239321608001E-2</v>
      </c>
      <c r="M82">
        <v>3.5089208542713503E-2</v>
      </c>
      <c r="N82">
        <v>2.2775288944723599E-2</v>
      </c>
      <c r="O82">
        <v>9.1649654522613002E-3</v>
      </c>
      <c r="P82">
        <v>4.8476727386934596E-3</v>
      </c>
      <c r="Q82">
        <v>3.05233040201005E-3</v>
      </c>
      <c r="R82">
        <v>1.9807499999999999E-2</v>
      </c>
      <c r="S82">
        <v>3.5124999999999899E-2</v>
      </c>
      <c r="T82">
        <v>2.2832499999999999E-2</v>
      </c>
      <c r="U82">
        <v>9.11E-3</v>
      </c>
      <c r="V82">
        <v>4.8199999999999901E-3</v>
      </c>
      <c r="W82">
        <v>3.1012499999999998E-3</v>
      </c>
      <c r="X82" s="2">
        <v>1.6852711618270299E-4</v>
      </c>
      <c r="Y82" s="2">
        <v>1.13014256720647E-4</v>
      </c>
      <c r="Z82" s="2">
        <v>1.8149074050429501E-4</v>
      </c>
      <c r="AA82" s="2">
        <v>9.0745370252247006E-5</v>
      </c>
      <c r="AB82" s="2">
        <v>8.5008169542039096E-5</v>
      </c>
      <c r="AC82" s="2">
        <v>1.16672618895776E-4</v>
      </c>
      <c r="AD82">
        <v>290.467648272914</v>
      </c>
      <c r="AE82">
        <v>290.47868383999997</v>
      </c>
      <c r="AF82">
        <v>-0.426119956736773</v>
      </c>
      <c r="AG82">
        <v>-0.42594131496002802</v>
      </c>
      <c r="AH82" s="7">
        <v>0.75723783860986205</v>
      </c>
      <c r="AI82" s="7">
        <v>0.75866816873200604</v>
      </c>
    </row>
    <row r="83" spans="1:35" x14ac:dyDescent="0.25">
      <c r="A83">
        <v>5</v>
      </c>
      <c r="B83" s="1">
        <v>45405</v>
      </c>
      <c r="C83" s="1">
        <v>45398</v>
      </c>
      <c r="D83" s="3">
        <f t="shared" si="1"/>
        <v>7</v>
      </c>
      <c r="E83" t="s">
        <v>36</v>
      </c>
      <c r="F83" t="s">
        <v>34</v>
      </c>
      <c r="G83">
        <v>8.9499999999999993</v>
      </c>
      <c r="H83">
        <v>30</v>
      </c>
      <c r="I83" t="s">
        <v>35</v>
      </c>
      <c r="J83">
        <v>3</v>
      </c>
      <c r="K83" s="4">
        <v>5.8</v>
      </c>
      <c r="L83">
        <v>2.1591901898734101E-2</v>
      </c>
      <c r="M83">
        <v>4.1680756329113902E-2</v>
      </c>
      <c r="N83">
        <v>2.6765069620253101E-2</v>
      </c>
      <c r="O83">
        <v>9.5473892405063196E-3</v>
      </c>
      <c r="P83">
        <v>5.3174018987341698E-3</v>
      </c>
      <c r="Q83">
        <v>3.5760253164556798E-3</v>
      </c>
      <c r="R83">
        <v>2.1567499999999899E-2</v>
      </c>
      <c r="S83">
        <v>4.1642499999999999E-2</v>
      </c>
      <c r="T83">
        <v>2.67374999999999E-2</v>
      </c>
      <c r="U83">
        <v>9.5774999999999801E-3</v>
      </c>
      <c r="V83">
        <v>5.3149999999999803E-3</v>
      </c>
      <c r="W83">
        <v>3.5824999999999798E-3</v>
      </c>
      <c r="X83" s="2">
        <v>2.53039851933678E-4</v>
      </c>
      <c r="Y83" s="2">
        <v>2.9189752768150402E-4</v>
      </c>
      <c r="Z83" s="2">
        <v>1.29636243217427E-4</v>
      </c>
      <c r="AA83" s="2">
        <v>1.3534421138547401E-4</v>
      </c>
      <c r="AB83" s="2">
        <v>9.0745370252271902E-5</v>
      </c>
      <c r="AC83" s="2">
        <v>9.3482024415867505E-5</v>
      </c>
      <c r="AD83">
        <v>291.45408290941702</v>
      </c>
      <c r="AE83">
        <v>291.43231142000002</v>
      </c>
      <c r="AF83">
        <v>-0.47416231814278398</v>
      </c>
      <c r="AG83">
        <v>-0.47253201156546898</v>
      </c>
      <c r="AH83" s="7">
        <v>0.77372783207804496</v>
      </c>
      <c r="AI83" s="7">
        <v>0.77362508651440098</v>
      </c>
    </row>
    <row r="84" spans="1:35" x14ac:dyDescent="0.25">
      <c r="A84">
        <v>6</v>
      </c>
      <c r="B84" s="1">
        <v>45405</v>
      </c>
      <c r="C84" s="1">
        <v>45398</v>
      </c>
      <c r="D84" s="3">
        <f t="shared" si="1"/>
        <v>7</v>
      </c>
      <c r="E84" t="s">
        <v>36</v>
      </c>
      <c r="F84" t="s">
        <v>34</v>
      </c>
      <c r="G84">
        <v>8.9499999999999993</v>
      </c>
      <c r="H84">
        <v>30</v>
      </c>
      <c r="I84" t="s">
        <v>35</v>
      </c>
      <c r="J84">
        <v>3</v>
      </c>
      <c r="K84" s="4">
        <v>5.34</v>
      </c>
      <c r="L84">
        <v>2.1766813850063502E-2</v>
      </c>
      <c r="M84">
        <v>3.71508799237611E-2</v>
      </c>
      <c r="N84">
        <v>2.47302445997458E-2</v>
      </c>
      <c r="O84">
        <v>1.03343265565438E-2</v>
      </c>
      <c r="P84">
        <v>5.8355082592121896E-3</v>
      </c>
      <c r="Q84">
        <v>3.86668996188055E-3</v>
      </c>
      <c r="R84">
        <v>2.1815000000000001E-2</v>
      </c>
      <c r="S84">
        <v>3.7297499999999997E-2</v>
      </c>
      <c r="T84">
        <v>2.4729999999999999E-2</v>
      </c>
      <c r="U84">
        <v>1.03199999999999E-2</v>
      </c>
      <c r="V84">
        <v>5.8100000000000096E-3</v>
      </c>
      <c r="W84">
        <v>3.8024999999999799E-3</v>
      </c>
      <c r="X84" s="2">
        <v>3.1461837553167701E-4</v>
      </c>
      <c r="Y84" s="2">
        <v>2.47330188658806E-4</v>
      </c>
      <c r="Z84" s="2">
        <v>3.2615819270217302E-4</v>
      </c>
      <c r="AA84" s="2">
        <v>2.6217307684472501E-4</v>
      </c>
      <c r="AB84" s="2">
        <v>2.0208290377963001E-4</v>
      </c>
      <c r="AC84" s="2">
        <v>5.6507128360563402E-5</v>
      </c>
      <c r="AD84">
        <v>290.744933265768</v>
      </c>
      <c r="AE84">
        <v>290.779469599999</v>
      </c>
      <c r="AF84">
        <v>-0.41065856173797799</v>
      </c>
      <c r="AG84">
        <v>-0.41707265409870697</v>
      </c>
      <c r="AH84" s="7">
        <v>0.72863328928502602</v>
      </c>
      <c r="AI84" s="7">
        <v>0.72607260726072498</v>
      </c>
    </row>
    <row r="85" spans="1:35" x14ac:dyDescent="0.25">
      <c r="A85">
        <v>7</v>
      </c>
      <c r="B85" s="1">
        <v>45405</v>
      </c>
      <c r="C85" s="1">
        <v>45398</v>
      </c>
      <c r="D85" s="3">
        <f t="shared" si="1"/>
        <v>7</v>
      </c>
      <c r="E85" t="s">
        <v>36</v>
      </c>
      <c r="F85" t="s">
        <v>34</v>
      </c>
      <c r="G85">
        <v>8.9499999999999993</v>
      </c>
      <c r="H85">
        <v>30</v>
      </c>
      <c r="I85" t="s">
        <v>35</v>
      </c>
      <c r="J85">
        <v>3</v>
      </c>
      <c r="K85" s="4">
        <v>7.93</v>
      </c>
      <c r="L85">
        <v>2.0341131778057998E-2</v>
      </c>
      <c r="M85">
        <v>3.5010249054224403E-2</v>
      </c>
      <c r="N85">
        <v>2.29773865069356E-2</v>
      </c>
      <c r="O85">
        <v>9.2305769230769195E-3</v>
      </c>
      <c r="P85">
        <v>4.9496279949558597E-3</v>
      </c>
      <c r="Q85">
        <v>3.1506841109709902E-3</v>
      </c>
      <c r="R85">
        <v>2.0274999999999901E-2</v>
      </c>
      <c r="S85">
        <v>3.50699999999999E-2</v>
      </c>
      <c r="T85">
        <v>2.2997500000000001E-2</v>
      </c>
      <c r="U85">
        <v>9.2200000000000008E-3</v>
      </c>
      <c r="V85">
        <v>4.9575000000000001E-3</v>
      </c>
      <c r="W85">
        <v>3.1700000000000001E-3</v>
      </c>
      <c r="X85" s="2">
        <v>1.02895578136529E-4</v>
      </c>
      <c r="Y85" s="2">
        <v>2.8608225312923199E-4</v>
      </c>
      <c r="Z85" s="2">
        <v>5.9406789735952903E-5</v>
      </c>
      <c r="AA85" s="2">
        <v>3.4298526045304799E-5</v>
      </c>
      <c r="AB85" s="2">
        <v>6.8597052090840194E-5</v>
      </c>
      <c r="AC85" s="2">
        <v>3.8890872965269999E-5</v>
      </c>
      <c r="AD85">
        <v>291.04425623889</v>
      </c>
      <c r="AE85">
        <v>291.05974723999998</v>
      </c>
      <c r="AF85">
        <v>-0.426839482777085</v>
      </c>
      <c r="AG85">
        <v>-0.42812573122221298</v>
      </c>
      <c r="AH85" s="7">
        <v>0.75225864102978401</v>
      </c>
      <c r="AI85" s="7">
        <v>0.75023357209592001</v>
      </c>
    </row>
    <row r="86" spans="1:35" x14ac:dyDescent="0.25">
      <c r="A86">
        <v>8</v>
      </c>
      <c r="B86" s="1">
        <v>45405</v>
      </c>
      <c r="C86" s="1">
        <v>45398</v>
      </c>
      <c r="D86" s="3">
        <f t="shared" si="1"/>
        <v>7</v>
      </c>
      <c r="E86" t="s">
        <v>36</v>
      </c>
      <c r="F86" t="s">
        <v>34</v>
      </c>
      <c r="G86">
        <v>8.9499999999999993</v>
      </c>
      <c r="H86">
        <v>30</v>
      </c>
      <c r="I86" t="s">
        <v>35</v>
      </c>
      <c r="J86">
        <v>3</v>
      </c>
      <c r="K86" s="4">
        <v>8.41</v>
      </c>
      <c r="L86">
        <v>2.3505624999999902E-2</v>
      </c>
      <c r="M86">
        <v>3.6905E-2</v>
      </c>
      <c r="N86">
        <v>2.5139791666666599E-2</v>
      </c>
      <c r="O86">
        <v>1.1271909722222201E-2</v>
      </c>
      <c r="P86">
        <v>5.9148611111111103E-3</v>
      </c>
      <c r="Q86">
        <v>3.9488194444444397E-3</v>
      </c>
      <c r="R86">
        <v>2.3629999999999901E-2</v>
      </c>
      <c r="S86">
        <v>3.6885000000000001E-2</v>
      </c>
      <c r="T86">
        <v>2.5169999999999901E-2</v>
      </c>
      <c r="U86">
        <v>1.11725E-2</v>
      </c>
      <c r="V86">
        <v>5.8650000000000004E-3</v>
      </c>
      <c r="W86">
        <v>3.9949999999999899E-3</v>
      </c>
      <c r="X86" s="2">
        <v>2.93046734990911E-4</v>
      </c>
      <c r="Y86" s="2">
        <v>6.8597052092190202E-5</v>
      </c>
      <c r="Z86" s="2">
        <v>1.1226827987730899E-4</v>
      </c>
      <c r="AA86" s="2">
        <v>2.40089682317999E-4</v>
      </c>
      <c r="AB86" s="2">
        <v>2.8431447768664098E-4</v>
      </c>
      <c r="AC86" s="2">
        <v>1.3719410418171299E-4</v>
      </c>
      <c r="AD86">
        <v>291.219457677045</v>
      </c>
      <c r="AE86">
        <v>291.20672209999998</v>
      </c>
      <c r="AF86">
        <v>-0.38089436728626602</v>
      </c>
      <c r="AG86">
        <v>-0.38387119065717601</v>
      </c>
      <c r="AH86" s="7">
        <v>0.72380589678282403</v>
      </c>
      <c r="AI86" s="7">
        <v>0.72561403508771805</v>
      </c>
    </row>
    <row r="87" spans="1:35" x14ac:dyDescent="0.25">
      <c r="A87">
        <v>9</v>
      </c>
      <c r="B87" s="1">
        <v>45405</v>
      </c>
      <c r="C87" s="1">
        <v>45398</v>
      </c>
      <c r="D87" s="3">
        <f t="shared" si="1"/>
        <v>7</v>
      </c>
      <c r="E87" t="s">
        <v>36</v>
      </c>
      <c r="F87" t="s">
        <v>34</v>
      </c>
      <c r="G87">
        <v>8.9499999999999993</v>
      </c>
      <c r="H87">
        <v>30</v>
      </c>
      <c r="I87" t="s">
        <v>35</v>
      </c>
      <c r="J87">
        <v>2</v>
      </c>
      <c r="K87" s="4">
        <v>6.91</v>
      </c>
      <c r="L87">
        <v>2.27129029187817E-2</v>
      </c>
      <c r="M87">
        <v>3.73161706852791E-2</v>
      </c>
      <c r="N87">
        <v>2.52983565989847E-2</v>
      </c>
      <c r="O87">
        <v>1.1166497461928901E-2</v>
      </c>
      <c r="P87">
        <v>5.9230361675126899E-3</v>
      </c>
      <c r="Q87">
        <v>3.7364022842639399E-3</v>
      </c>
      <c r="R87">
        <v>2.2612500000000001E-2</v>
      </c>
      <c r="S87">
        <v>3.7242499999999901E-2</v>
      </c>
      <c r="T87">
        <v>2.52249999999999E-2</v>
      </c>
      <c r="U87">
        <v>1.1117500000000001E-2</v>
      </c>
      <c r="V87">
        <v>5.8650000000000004E-3</v>
      </c>
      <c r="W87">
        <v>3.8024999999999799E-3</v>
      </c>
      <c r="X87" s="2">
        <v>8.2500000000760296E-5</v>
      </c>
      <c r="Y87" s="2">
        <v>1.5124999999933299E-4</v>
      </c>
      <c r="Z87" s="2">
        <v>1.78749999999903E-4</v>
      </c>
      <c r="AA87">
        <v>0</v>
      </c>
      <c r="AB87" s="2">
        <v>4.12499999999695E-5</v>
      </c>
      <c r="AC87" s="2">
        <v>1.37499999999998E-4</v>
      </c>
      <c r="AD87">
        <v>290.840646952893</v>
      </c>
      <c r="AE87">
        <v>290.97771476000003</v>
      </c>
      <c r="AF87">
        <v>-0.387544538744445</v>
      </c>
      <c r="AG87">
        <v>-0.38771857359217898</v>
      </c>
      <c r="AH87" s="7">
        <v>0.72603731323922305</v>
      </c>
      <c r="AI87" s="7">
        <v>0.729785763648928</v>
      </c>
    </row>
    <row r="88" spans="1:35" x14ac:dyDescent="0.25">
      <c r="A88">
        <v>10</v>
      </c>
      <c r="B88" s="1">
        <v>45405</v>
      </c>
      <c r="C88" s="1">
        <v>45398</v>
      </c>
      <c r="D88" s="3">
        <f t="shared" si="1"/>
        <v>7</v>
      </c>
      <c r="E88" t="s">
        <v>36</v>
      </c>
      <c r="F88" t="s">
        <v>34</v>
      </c>
      <c r="G88">
        <v>8.9499999999999993</v>
      </c>
      <c r="H88">
        <v>30</v>
      </c>
      <c r="I88" t="s">
        <v>35</v>
      </c>
      <c r="J88">
        <v>3</v>
      </c>
      <c r="K88" s="4">
        <v>9.01</v>
      </c>
      <c r="L88">
        <v>1.4318987789203E-2</v>
      </c>
      <c r="M88">
        <v>3.4055751928020503E-2</v>
      </c>
      <c r="N88">
        <v>2.2728544344472999E-2</v>
      </c>
      <c r="O88">
        <v>9.7785186375321295E-3</v>
      </c>
      <c r="P88">
        <v>6.33918059125964E-3</v>
      </c>
      <c r="Q88">
        <v>4.2546240359897002E-3</v>
      </c>
      <c r="R88">
        <v>1.38949999999999E-2</v>
      </c>
      <c r="S88">
        <v>3.3750000000000002E-2</v>
      </c>
      <c r="T88">
        <v>2.25849999999999E-2</v>
      </c>
      <c r="U88">
        <v>9.6600000000000002E-3</v>
      </c>
      <c r="V88">
        <v>6.2500000000000003E-3</v>
      </c>
      <c r="W88">
        <v>4.2424999999999798E-3</v>
      </c>
      <c r="X88">
        <v>2.21602152265922E-3</v>
      </c>
      <c r="Y88">
        <v>1.07785344808818E-3</v>
      </c>
      <c r="Z88" s="2">
        <v>8.9176167718112804E-4</v>
      </c>
      <c r="AA88" s="2">
        <v>6.5128505450547905E-4</v>
      </c>
      <c r="AB88" s="2">
        <v>1.16672618895752E-4</v>
      </c>
      <c r="AC88" s="2">
        <v>2.5829838473276497E-4</v>
      </c>
      <c r="AD88">
        <v>291.30686832866297</v>
      </c>
      <c r="AE88">
        <v>291.29900864000001</v>
      </c>
      <c r="AF88">
        <v>-0.39868596900938202</v>
      </c>
      <c r="AG88">
        <v>-0.40083733912234398</v>
      </c>
      <c r="AH88" s="7">
        <v>0.68602384735535704</v>
      </c>
      <c r="AI88" s="7">
        <v>0.687499999999999</v>
      </c>
    </row>
    <row r="89" spans="1:35" x14ac:dyDescent="0.25">
      <c r="A89">
        <v>11</v>
      </c>
      <c r="B89" s="1">
        <v>45405</v>
      </c>
      <c r="C89" s="1">
        <v>45398</v>
      </c>
      <c r="D89" s="3">
        <f t="shared" si="1"/>
        <v>7</v>
      </c>
      <c r="E89" t="s">
        <v>36</v>
      </c>
      <c r="F89" t="s">
        <v>34</v>
      </c>
      <c r="G89">
        <v>8.9499999999999993</v>
      </c>
      <c r="H89">
        <v>30</v>
      </c>
      <c r="I89" t="s">
        <v>35</v>
      </c>
      <c r="J89">
        <v>2</v>
      </c>
      <c r="K89" s="4">
        <v>9.9</v>
      </c>
      <c r="L89">
        <v>1.9427621173469301E-2</v>
      </c>
      <c r="M89">
        <v>3.8517005739795898E-2</v>
      </c>
      <c r="N89">
        <v>2.6955781249999901E-2</v>
      </c>
      <c r="O89">
        <v>1.17270248724489E-2</v>
      </c>
      <c r="P89">
        <v>7.4511256377550903E-3</v>
      </c>
      <c r="Q89">
        <v>5.0499968112244801E-3</v>
      </c>
      <c r="R89">
        <v>1.9394999999999898E-2</v>
      </c>
      <c r="S89">
        <v>3.8754999999999901E-2</v>
      </c>
      <c r="T89">
        <v>2.7067499999999901E-2</v>
      </c>
      <c r="U89">
        <v>1.1406249999999901E-2</v>
      </c>
      <c r="V89">
        <v>7.4599999999999901E-3</v>
      </c>
      <c r="W89">
        <v>4.9849999999999799E-3</v>
      </c>
      <c r="X89" s="2">
        <v>2.4750000000008999E-4</v>
      </c>
      <c r="Y89" s="2">
        <v>5.2249999999993903E-4</v>
      </c>
      <c r="Z89" s="2">
        <v>5.0874999999991997E-4</v>
      </c>
      <c r="AA89" s="2">
        <v>4.1249999999999002E-4</v>
      </c>
      <c r="AB89" s="2">
        <v>1.78750000000017E-4</v>
      </c>
      <c r="AC89" s="2">
        <v>5.5000000000014002E-5</v>
      </c>
      <c r="AD89">
        <v>293.10192263589198</v>
      </c>
      <c r="AE89">
        <v>293.21309983999998</v>
      </c>
      <c r="AF89">
        <v>-0.39376899493230699</v>
      </c>
      <c r="AG89">
        <v>-0.39273049222923601</v>
      </c>
      <c r="AH89" s="7">
        <v>0.67593069453107901</v>
      </c>
      <c r="AI89" s="7">
        <v>0.67754484547222804</v>
      </c>
    </row>
    <row r="90" spans="1:35" x14ac:dyDescent="0.25">
      <c r="A90">
        <v>1</v>
      </c>
      <c r="B90" s="1">
        <v>45420</v>
      </c>
      <c r="C90" s="1">
        <v>45414</v>
      </c>
      <c r="D90" s="3">
        <f t="shared" si="1"/>
        <v>6</v>
      </c>
      <c r="E90" t="s">
        <v>36</v>
      </c>
      <c r="F90" t="s">
        <v>34</v>
      </c>
      <c r="G90">
        <v>1.54</v>
      </c>
      <c r="H90">
        <v>30</v>
      </c>
      <c r="I90" t="s">
        <v>35</v>
      </c>
      <c r="J90">
        <v>3</v>
      </c>
      <c r="K90" s="4">
        <v>1.77</v>
      </c>
      <c r="L90">
        <v>1.30716423125794E-2</v>
      </c>
      <c r="M90">
        <v>3.5261067344345601E-2</v>
      </c>
      <c r="N90">
        <v>1.7558125794155E-2</v>
      </c>
      <c r="O90">
        <v>1.22750158831003E-2</v>
      </c>
      <c r="P90">
        <v>6.2849777636594601E-3</v>
      </c>
      <c r="Q90">
        <v>3.8177700127064698E-3</v>
      </c>
      <c r="R90">
        <v>1.3289999999999901E-2</v>
      </c>
      <c r="S90">
        <v>3.5372500000000001E-2</v>
      </c>
      <c r="T90">
        <v>1.7524999999999898E-2</v>
      </c>
      <c r="U90">
        <v>1.208E-2</v>
      </c>
      <c r="V90">
        <v>6.2774999999999897E-3</v>
      </c>
      <c r="W90">
        <v>3.6924999999999801E-3</v>
      </c>
      <c r="X90" s="2">
        <v>8.3723337381059104E-4</v>
      </c>
      <c r="Y90" s="2">
        <v>3.3530458789999803E-4</v>
      </c>
      <c r="Z90" s="2">
        <v>1.6952138508161E-4</v>
      </c>
      <c r="AA90" s="2">
        <v>2.7223611075680702E-4</v>
      </c>
      <c r="AB90" s="2">
        <v>5.9406789735382497E-5</v>
      </c>
      <c r="AC90" s="2">
        <v>9.0745370252284398E-5</v>
      </c>
      <c r="AD90">
        <v>295.838842782261</v>
      </c>
      <c r="AE90">
        <v>295.81763107999899</v>
      </c>
      <c r="AF90">
        <v>-0.177235288768581</v>
      </c>
      <c r="AG90">
        <v>-0.18488183602081701</v>
      </c>
      <c r="AH90" s="7">
        <v>0.69746198191450504</v>
      </c>
      <c r="AI90" s="7">
        <v>0.69846605145755603</v>
      </c>
    </row>
    <row r="91" spans="1:35" x14ac:dyDescent="0.25">
      <c r="A91">
        <v>2</v>
      </c>
      <c r="B91" s="1">
        <v>45420</v>
      </c>
      <c r="C91" s="1">
        <v>45414</v>
      </c>
      <c r="D91" s="3">
        <f t="shared" si="1"/>
        <v>6</v>
      </c>
      <c r="E91" t="s">
        <v>36</v>
      </c>
      <c r="F91" t="s">
        <v>34</v>
      </c>
      <c r="G91">
        <v>1.54</v>
      </c>
      <c r="H91">
        <v>30</v>
      </c>
      <c r="I91" t="s">
        <v>35</v>
      </c>
      <c r="J91">
        <v>2</v>
      </c>
      <c r="K91" s="4">
        <v>2.6</v>
      </c>
      <c r="L91">
        <v>9.2297512755101993E-3</v>
      </c>
      <c r="M91">
        <v>3.4237037627551002E-2</v>
      </c>
      <c r="N91">
        <v>1.63151052295918E-2</v>
      </c>
      <c r="O91">
        <v>9.6851849489795801E-3</v>
      </c>
      <c r="P91">
        <v>4.9704081632652997E-3</v>
      </c>
      <c r="Q91">
        <v>3.28126275510203E-3</v>
      </c>
      <c r="R91">
        <v>8.9449999999999998E-3</v>
      </c>
      <c r="S91">
        <v>3.4217499999999901E-2</v>
      </c>
      <c r="T91">
        <v>1.6452499999999998E-2</v>
      </c>
      <c r="U91">
        <v>9.8524999999999793E-3</v>
      </c>
      <c r="V91">
        <v>4.9849999999999998E-3</v>
      </c>
      <c r="W91">
        <v>3.2937499999999898E-3</v>
      </c>
      <c r="X91" s="2">
        <v>4.9500000000000303E-4</v>
      </c>
      <c r="Y91" s="2">
        <v>2.8875000000007898E-4</v>
      </c>
      <c r="Z91" s="2">
        <v>2.6124999999996903E-4</v>
      </c>
      <c r="AA91" s="2">
        <v>1.10000000000028E-4</v>
      </c>
      <c r="AB91" s="2">
        <v>1.5125000000001601E-4</v>
      </c>
      <c r="AC91" s="2">
        <v>8.2500000000000596E-5</v>
      </c>
      <c r="AD91">
        <v>295.987058494846</v>
      </c>
      <c r="AE91">
        <v>295.94922484999898</v>
      </c>
      <c r="AF91">
        <v>-0.255086003340597</v>
      </c>
      <c r="AG91">
        <v>-0.25119036050918297</v>
      </c>
      <c r="AH91" s="7">
        <v>0.74642935930015197</v>
      </c>
      <c r="AI91" s="7">
        <v>0.744647910308462</v>
      </c>
    </row>
    <row r="92" spans="1:35" x14ac:dyDescent="0.25">
      <c r="A92">
        <v>3</v>
      </c>
      <c r="B92" s="1">
        <v>45420</v>
      </c>
      <c r="C92" s="1">
        <v>45414</v>
      </c>
      <c r="D92" s="3">
        <f t="shared" si="1"/>
        <v>6</v>
      </c>
      <c r="E92" t="s">
        <v>36</v>
      </c>
      <c r="F92" t="s">
        <v>34</v>
      </c>
      <c r="G92">
        <v>1.54</v>
      </c>
      <c r="H92">
        <v>30</v>
      </c>
      <c r="I92" t="s">
        <v>35</v>
      </c>
      <c r="J92">
        <v>3</v>
      </c>
      <c r="K92" s="4">
        <v>1.85</v>
      </c>
      <c r="L92">
        <v>1.6308669811320699E-2</v>
      </c>
      <c r="M92">
        <v>3.7101194968553401E-2</v>
      </c>
      <c r="N92">
        <v>1.91812610062893E-2</v>
      </c>
      <c r="O92">
        <v>1.01942610062893E-2</v>
      </c>
      <c r="P92">
        <v>4.2375880503144597E-3</v>
      </c>
      <c r="Q92">
        <v>2.65016352201256E-3</v>
      </c>
      <c r="R92">
        <v>1.62599999999999E-2</v>
      </c>
      <c r="S92">
        <v>3.7022499999999903E-2</v>
      </c>
      <c r="T92">
        <v>1.92299999999999E-2</v>
      </c>
      <c r="U92">
        <v>1.02099999999999E-2</v>
      </c>
      <c r="V92">
        <v>4.2975000000000096E-3</v>
      </c>
      <c r="W92">
        <v>2.61999999999998E-3</v>
      </c>
      <c r="X92" s="2">
        <v>1.5770929656225901E-4</v>
      </c>
      <c r="Y92" s="2">
        <v>1.2963624321798501E-4</v>
      </c>
      <c r="Z92" s="2">
        <v>5.9406789735344503E-5</v>
      </c>
      <c r="AA92" s="2">
        <v>1.4022303662380501E-4</v>
      </c>
      <c r="AB92" s="2">
        <v>5.9406789735401599E-5</v>
      </c>
      <c r="AC92" s="2">
        <v>1.29636243218002E-5</v>
      </c>
      <c r="AD92">
        <v>295.96871616279202</v>
      </c>
      <c r="AE92">
        <v>295.9919501</v>
      </c>
      <c r="AF92">
        <v>-0.30594811930975702</v>
      </c>
      <c r="AG92">
        <v>-0.30638586956521702</v>
      </c>
      <c r="AH92" s="7">
        <v>0.79499870495849301</v>
      </c>
      <c r="AI92" s="7">
        <v>0.79336458708979396</v>
      </c>
    </row>
    <row r="93" spans="1:35" x14ac:dyDescent="0.25">
      <c r="A93">
        <v>4</v>
      </c>
      <c r="B93" s="1">
        <v>45420</v>
      </c>
      <c r="C93" s="1">
        <v>45414</v>
      </c>
      <c r="D93" s="3">
        <f t="shared" si="1"/>
        <v>6</v>
      </c>
      <c r="E93" t="s">
        <v>36</v>
      </c>
      <c r="F93" t="s">
        <v>34</v>
      </c>
      <c r="G93">
        <v>1.54</v>
      </c>
      <c r="H93">
        <v>30</v>
      </c>
      <c r="I93" t="s">
        <v>35</v>
      </c>
      <c r="J93">
        <v>3</v>
      </c>
      <c r="K93" s="4">
        <v>1.53</v>
      </c>
      <c r="L93">
        <v>1.5499569723618E-2</v>
      </c>
      <c r="M93">
        <v>3.5917559673366801E-2</v>
      </c>
      <c r="N93">
        <v>1.8181821608040199E-2</v>
      </c>
      <c r="O93">
        <v>8.8995006281407003E-3</v>
      </c>
      <c r="P93">
        <v>3.79472675879396E-3</v>
      </c>
      <c r="Q93">
        <v>2.48657663316582E-3</v>
      </c>
      <c r="R93">
        <v>1.5599999999999999E-2</v>
      </c>
      <c r="S93">
        <v>3.5950000000000003E-2</v>
      </c>
      <c r="T93">
        <v>1.8322499999999901E-2</v>
      </c>
      <c r="U93">
        <v>8.8624999999999902E-3</v>
      </c>
      <c r="V93">
        <v>3.74749999999998E-3</v>
      </c>
      <c r="W93">
        <v>2.4824999999999899E-3</v>
      </c>
      <c r="X93" s="2">
        <v>3.31016951563273E-4</v>
      </c>
      <c r="Y93" s="2">
        <v>2.8134350297564598E-4</v>
      </c>
      <c r="Z93" s="2">
        <v>2.34423050629983E-4</v>
      </c>
      <c r="AA93" s="2">
        <v>1.18813579470803E-4</v>
      </c>
      <c r="AB93" s="2">
        <v>9.7873217310277401E-5</v>
      </c>
      <c r="AC93" s="2">
        <v>4.6741012207945801E-5</v>
      </c>
      <c r="AD93">
        <v>296.04145127407003</v>
      </c>
      <c r="AE93">
        <v>296.0432204</v>
      </c>
      <c r="AF93">
        <v>-0.34274088818291698</v>
      </c>
      <c r="AG93">
        <v>-0.34127423822714598</v>
      </c>
      <c r="AH93" s="7">
        <v>0.80890384953559602</v>
      </c>
      <c r="AI93" s="7">
        <v>0.80934817170111295</v>
      </c>
    </row>
    <row r="94" spans="1:35" x14ac:dyDescent="0.25">
      <c r="A94">
        <v>5</v>
      </c>
      <c r="B94" s="1">
        <v>45420</v>
      </c>
      <c r="C94" s="1">
        <v>45414</v>
      </c>
      <c r="D94" s="3">
        <f t="shared" si="1"/>
        <v>6</v>
      </c>
      <c r="E94" t="s">
        <v>36</v>
      </c>
      <c r="F94" t="s">
        <v>34</v>
      </c>
      <c r="G94">
        <v>1.54</v>
      </c>
      <c r="H94">
        <v>30</v>
      </c>
      <c r="I94" t="s">
        <v>35</v>
      </c>
      <c r="J94">
        <v>3</v>
      </c>
      <c r="K94" s="4">
        <v>2.76</v>
      </c>
      <c r="L94">
        <v>1.8916221518987301E-2</v>
      </c>
      <c r="M94">
        <v>4.4651661392405E-2</v>
      </c>
      <c r="N94">
        <v>2.4325924050632899E-2</v>
      </c>
      <c r="O94">
        <v>1.06642373417721E-2</v>
      </c>
      <c r="P94">
        <v>4.2261740506329103E-3</v>
      </c>
      <c r="Q94">
        <v>2.7073386075949302E-3</v>
      </c>
      <c r="R94">
        <v>1.9834999999999901E-2</v>
      </c>
      <c r="S94">
        <v>4.5217499999999897E-2</v>
      </c>
      <c r="T94">
        <v>2.4895E-2</v>
      </c>
      <c r="U94">
        <v>1.1282500000000001E-2</v>
      </c>
      <c r="V94">
        <v>4.3799999999999898E-3</v>
      </c>
      <c r="W94">
        <v>2.6749999999999799E-3</v>
      </c>
      <c r="X94" s="2">
        <v>6.9823288855989203E-4</v>
      </c>
      <c r="Y94" s="2">
        <v>4.5075399794852701E-4</v>
      </c>
      <c r="Z94" s="2">
        <v>3.9341983512108301E-4</v>
      </c>
      <c r="AA94" s="2">
        <v>3.1461837553170601E-4</v>
      </c>
      <c r="AB94" s="2">
        <v>1.1076125475794801E-4</v>
      </c>
      <c r="AC94" s="2">
        <v>5.94067897354206E-5</v>
      </c>
      <c r="AD94">
        <v>296.05760204364498</v>
      </c>
      <c r="AE94">
        <v>296.02613029999998</v>
      </c>
      <c r="AF94">
        <v>-0.39153893020292602</v>
      </c>
      <c r="AG94">
        <v>-0.37626978094119201</v>
      </c>
      <c r="AH94" s="7">
        <v>0.827290089350042</v>
      </c>
      <c r="AI94" s="7">
        <v>0.82337819446544702</v>
      </c>
    </row>
    <row r="95" spans="1:35" x14ac:dyDescent="0.25">
      <c r="A95">
        <v>6</v>
      </c>
      <c r="B95" s="1">
        <v>45420</v>
      </c>
      <c r="C95" s="1">
        <v>45414</v>
      </c>
      <c r="D95" s="3">
        <f t="shared" si="1"/>
        <v>6</v>
      </c>
      <c r="E95" t="s">
        <v>36</v>
      </c>
      <c r="F95" t="s">
        <v>34</v>
      </c>
      <c r="G95">
        <v>1.54</v>
      </c>
      <c r="H95">
        <v>30</v>
      </c>
      <c r="I95" t="s">
        <v>35</v>
      </c>
      <c r="J95">
        <v>3</v>
      </c>
      <c r="K95" s="4">
        <v>2.33</v>
      </c>
      <c r="L95">
        <v>1.81985927573062E-2</v>
      </c>
      <c r="M95">
        <v>3.8554602922490397E-2</v>
      </c>
      <c r="N95">
        <v>2.03982083862769E-2</v>
      </c>
      <c r="O95">
        <v>1.0845435196950399E-2</v>
      </c>
      <c r="P95">
        <v>4.7201683608640299E-3</v>
      </c>
      <c r="Q95">
        <v>3.1003240152477798E-3</v>
      </c>
      <c r="R95">
        <v>1.813E-2</v>
      </c>
      <c r="S95">
        <v>3.8644999999999902E-2</v>
      </c>
      <c r="T95">
        <v>2.03849999999999E-2</v>
      </c>
      <c r="U95">
        <v>1.07875E-2</v>
      </c>
      <c r="V95">
        <v>4.7099999999999902E-3</v>
      </c>
      <c r="W95">
        <v>3.0599999999999998E-3</v>
      </c>
      <c r="X95" s="2">
        <v>6.8511252117204604E-4</v>
      </c>
      <c r="Y95" s="2">
        <v>3.8193222202689999E-4</v>
      </c>
      <c r="Z95" s="2">
        <v>2.3798050807199701E-4</v>
      </c>
      <c r="AA95" s="2">
        <v>1.46092626629674E-4</v>
      </c>
      <c r="AB95" s="2">
        <v>9.0745370252296798E-5</v>
      </c>
      <c r="AC95" s="2">
        <v>1.01249142657559E-4</v>
      </c>
      <c r="AD95">
        <v>296.39154139367201</v>
      </c>
      <c r="AE95">
        <v>296.43287468</v>
      </c>
      <c r="AF95">
        <v>-0.30578041849316601</v>
      </c>
      <c r="AG95">
        <v>-0.30685154975530099</v>
      </c>
      <c r="AH95" s="7">
        <v>0.78193002476220297</v>
      </c>
      <c r="AI95" s="7">
        <v>0.78272402260408203</v>
      </c>
    </row>
    <row r="96" spans="1:35" x14ac:dyDescent="0.25">
      <c r="A96">
        <v>7</v>
      </c>
      <c r="B96" s="1">
        <v>45420</v>
      </c>
      <c r="C96" s="1">
        <v>45414</v>
      </c>
      <c r="D96" s="3">
        <f t="shared" si="1"/>
        <v>6</v>
      </c>
      <c r="E96" t="s">
        <v>36</v>
      </c>
      <c r="F96" t="s">
        <v>34</v>
      </c>
      <c r="G96">
        <v>1.54</v>
      </c>
      <c r="H96">
        <v>30</v>
      </c>
      <c r="I96" t="s">
        <v>35</v>
      </c>
      <c r="J96">
        <v>3</v>
      </c>
      <c r="K96" s="4">
        <v>3.23</v>
      </c>
      <c r="L96">
        <v>1.6837049180327801E-2</v>
      </c>
      <c r="M96">
        <v>3.4417282471626703E-2</v>
      </c>
      <c r="N96">
        <v>1.8100870113493001E-2</v>
      </c>
      <c r="O96">
        <v>1.0895453972257199E-2</v>
      </c>
      <c r="P96">
        <v>4.3451828499369398E-3</v>
      </c>
      <c r="Q96">
        <v>2.6841897856241998E-3</v>
      </c>
      <c r="R96">
        <v>1.6809999999999901E-2</v>
      </c>
      <c r="S96">
        <v>3.4354999999999997E-2</v>
      </c>
      <c r="T96">
        <v>1.813E-2</v>
      </c>
      <c r="U96">
        <v>1.09249999999999E-2</v>
      </c>
      <c r="V96">
        <v>4.3799999999999898E-3</v>
      </c>
      <c r="W96">
        <v>2.6474999999999901E-3</v>
      </c>
      <c r="X96" s="2">
        <v>1.3472193585310901E-4</v>
      </c>
      <c r="Y96" s="2">
        <v>1.78220369206033E-4</v>
      </c>
      <c r="Z96" s="2">
        <v>7.8854648281186993E-5</v>
      </c>
      <c r="AA96" s="2">
        <v>1.57175591828598E-4</v>
      </c>
      <c r="AB96" s="2">
        <v>1.3658025723604699E-4</v>
      </c>
      <c r="AC96" s="2">
        <v>1.15223213324789E-4</v>
      </c>
      <c r="AD96">
        <v>295.36658174718701</v>
      </c>
      <c r="AE96">
        <v>295.35619838000002</v>
      </c>
      <c r="AF96">
        <v>-0.248538489183487</v>
      </c>
      <c r="AG96">
        <v>-0.24797797281018799</v>
      </c>
      <c r="AH96" s="7">
        <v>0.775856213791699</v>
      </c>
      <c r="AI96" s="7">
        <v>0.77525170509905805</v>
      </c>
    </row>
    <row r="97" spans="1:35" x14ac:dyDescent="0.25">
      <c r="A97">
        <v>8</v>
      </c>
      <c r="B97" s="1">
        <v>45420</v>
      </c>
      <c r="C97" s="1">
        <v>45414</v>
      </c>
      <c r="D97" s="3">
        <f t="shared" si="1"/>
        <v>6</v>
      </c>
      <c r="E97" t="s">
        <v>36</v>
      </c>
      <c r="F97" t="s">
        <v>34</v>
      </c>
      <c r="G97">
        <v>1.54</v>
      </c>
      <c r="H97">
        <v>30</v>
      </c>
      <c r="I97" t="s">
        <v>35</v>
      </c>
      <c r="J97">
        <v>3</v>
      </c>
      <c r="K97" s="4">
        <v>3.29</v>
      </c>
      <c r="L97">
        <v>2.1491770833333299E-2</v>
      </c>
      <c r="M97">
        <v>3.8838298611111099E-2</v>
      </c>
      <c r="N97">
        <v>2.1707847222222201E-2</v>
      </c>
      <c r="O97">
        <v>1.39932638888888E-2</v>
      </c>
      <c r="P97">
        <v>5.6505555555555502E-3</v>
      </c>
      <c r="Q97">
        <v>3.34430555555555E-3</v>
      </c>
      <c r="R97">
        <v>2.1622499999999899E-2</v>
      </c>
      <c r="S97">
        <v>3.8837499999999997E-2</v>
      </c>
      <c r="T97">
        <v>2.1704999999999999E-2</v>
      </c>
      <c r="U97">
        <v>1.39775E-2</v>
      </c>
      <c r="V97">
        <v>5.6449999999999799E-3</v>
      </c>
      <c r="W97">
        <v>3.3349999999999999E-3</v>
      </c>
      <c r="X97" s="2">
        <v>2.1808191631170001E-4</v>
      </c>
      <c r="Y97" s="2">
        <v>1.16672618896545E-4</v>
      </c>
      <c r="Z97" s="2">
        <v>1.49503808944425E-4</v>
      </c>
      <c r="AA97" s="2">
        <v>2.4733018865924402E-4</v>
      </c>
      <c r="AB97" s="2">
        <v>1.5283887667156201E-4</v>
      </c>
      <c r="AC97" s="2">
        <v>6.4818121608748599E-5</v>
      </c>
      <c r="AD97">
        <v>296.17200466113599</v>
      </c>
      <c r="AE97">
        <v>296.186777239999</v>
      </c>
      <c r="AF97">
        <v>-0.21616201254668899</v>
      </c>
      <c r="AG97">
        <v>-0.21414013634127399</v>
      </c>
      <c r="AH97" s="7">
        <v>0.74600121909276695</v>
      </c>
      <c r="AI97" s="7">
        <v>0.74619232282358205</v>
      </c>
    </row>
    <row r="98" spans="1:35" x14ac:dyDescent="0.25">
      <c r="A98">
        <v>9</v>
      </c>
      <c r="B98" s="1">
        <v>45420</v>
      </c>
      <c r="C98" s="1">
        <v>45414</v>
      </c>
      <c r="D98" s="3">
        <f t="shared" si="1"/>
        <v>6</v>
      </c>
      <c r="E98" t="s">
        <v>36</v>
      </c>
      <c r="F98" t="s">
        <v>34</v>
      </c>
      <c r="G98">
        <v>1.54</v>
      </c>
      <c r="H98">
        <v>30</v>
      </c>
      <c r="I98" t="s">
        <v>35</v>
      </c>
      <c r="J98">
        <v>2</v>
      </c>
      <c r="K98" s="4">
        <v>4.12</v>
      </c>
      <c r="L98">
        <v>2.05340862944162E-2</v>
      </c>
      <c r="M98">
        <v>3.8600225253807102E-2</v>
      </c>
      <c r="N98">
        <v>2.1482975888324801E-2</v>
      </c>
      <c r="O98">
        <v>1.3142414340101501E-2</v>
      </c>
      <c r="P98">
        <v>5.1745685279187704E-3</v>
      </c>
      <c r="Q98">
        <v>3.0074428934010098E-3</v>
      </c>
      <c r="R98">
        <v>2.0302500000000001E-2</v>
      </c>
      <c r="S98">
        <v>3.8397500000000001E-2</v>
      </c>
      <c r="T98">
        <v>2.1319999999999999E-2</v>
      </c>
      <c r="U98">
        <v>1.3262499999999899E-2</v>
      </c>
      <c r="V98">
        <v>5.1499999999999801E-3</v>
      </c>
      <c r="W98">
        <v>2.9499999999999999E-3</v>
      </c>
      <c r="X98" s="2">
        <v>1.78749999999903E-4</v>
      </c>
      <c r="Y98" s="2">
        <v>1.64999999999549E-4</v>
      </c>
      <c r="Z98" s="2">
        <v>2.19999999999933E-4</v>
      </c>
      <c r="AA98" s="2">
        <v>1.10000000000028E-4</v>
      </c>
      <c r="AB98" s="2">
        <v>1.37500000000035E-5</v>
      </c>
      <c r="AC98" s="2">
        <v>1.3749999999941901E-5</v>
      </c>
      <c r="AD98">
        <v>296.204205671929</v>
      </c>
      <c r="AE98">
        <v>296.27564575999997</v>
      </c>
      <c r="AF98">
        <v>-0.240918777062536</v>
      </c>
      <c r="AG98">
        <v>-0.23592493297587</v>
      </c>
      <c r="AH98" s="7">
        <v>0.76361919631757702</v>
      </c>
      <c r="AI98" s="7">
        <v>0.76347666341351395</v>
      </c>
    </row>
    <row r="99" spans="1:35" x14ac:dyDescent="0.25">
      <c r="A99">
        <v>10</v>
      </c>
      <c r="B99" s="1">
        <v>45420</v>
      </c>
      <c r="C99" s="1">
        <v>45414</v>
      </c>
      <c r="D99" s="3">
        <f t="shared" si="1"/>
        <v>6</v>
      </c>
      <c r="E99" t="s">
        <v>36</v>
      </c>
      <c r="F99" t="s">
        <v>34</v>
      </c>
      <c r="G99">
        <v>1.54</v>
      </c>
      <c r="H99">
        <v>30</v>
      </c>
      <c r="I99" t="s">
        <v>35</v>
      </c>
      <c r="J99">
        <v>3</v>
      </c>
      <c r="K99" s="4">
        <v>3.7</v>
      </c>
      <c r="L99">
        <v>1.12179562982005E-2</v>
      </c>
      <c r="M99">
        <v>3.05635347043701E-2</v>
      </c>
      <c r="N99">
        <v>1.79682872750642E-2</v>
      </c>
      <c r="O99">
        <v>1.23714010282776E-2</v>
      </c>
      <c r="P99">
        <v>6.4019569408740196E-3</v>
      </c>
      <c r="Q99">
        <v>4.20040167095115E-3</v>
      </c>
      <c r="R99">
        <v>9.9349999999999994E-3</v>
      </c>
      <c r="S99">
        <v>2.9157499999999999E-2</v>
      </c>
      <c r="T99">
        <v>1.66725E-2</v>
      </c>
      <c r="U99">
        <v>1.11725E-2</v>
      </c>
      <c r="V99">
        <v>5.6999999999999803E-3</v>
      </c>
      <c r="W99">
        <v>3.6374999999999802E-3</v>
      </c>
      <c r="X99">
        <v>2.2744788780436299E-3</v>
      </c>
      <c r="Y99">
        <v>2.4060361016041E-3</v>
      </c>
      <c r="Z99">
        <v>2.4308437606906999E-3</v>
      </c>
      <c r="AA99">
        <v>2.1520787754066E-3</v>
      </c>
      <c r="AB99">
        <v>1.74451083560853E-3</v>
      </c>
      <c r="AC99">
        <v>1.23807702596495E-3</v>
      </c>
      <c r="AD99">
        <v>296.46764798115601</v>
      </c>
      <c r="AE99">
        <v>296.436292699999</v>
      </c>
      <c r="AF99">
        <v>-0.187219430765029</v>
      </c>
      <c r="AG99">
        <v>-0.1998920474991</v>
      </c>
      <c r="AH99" s="7">
        <v>0.65785147332454696</v>
      </c>
      <c r="AI99" s="7">
        <v>0.67957949308755705</v>
      </c>
    </row>
    <row r="100" spans="1:35" x14ac:dyDescent="0.25">
      <c r="A100">
        <v>11</v>
      </c>
      <c r="B100" s="1">
        <v>45420</v>
      </c>
      <c r="C100" s="1">
        <v>45414</v>
      </c>
      <c r="D100" s="3">
        <f t="shared" si="1"/>
        <v>6</v>
      </c>
      <c r="E100" t="s">
        <v>36</v>
      </c>
      <c r="F100" t="s">
        <v>34</v>
      </c>
      <c r="G100">
        <v>1.54</v>
      </c>
      <c r="H100">
        <v>30</v>
      </c>
      <c r="I100" t="s">
        <v>35</v>
      </c>
      <c r="J100">
        <v>2</v>
      </c>
      <c r="K100" s="4">
        <v>11.8</v>
      </c>
      <c r="L100">
        <v>1.7228883928571401E-2</v>
      </c>
      <c r="M100">
        <v>3.62626721938775E-2</v>
      </c>
      <c r="N100">
        <v>2.1769365433673402E-2</v>
      </c>
      <c r="O100">
        <v>1.4174314413265301E-2</v>
      </c>
      <c r="P100">
        <v>7.1639190051020303E-3</v>
      </c>
      <c r="Q100">
        <v>4.55078762755101E-3</v>
      </c>
      <c r="R100">
        <v>1.7497499999999999E-2</v>
      </c>
      <c r="S100">
        <v>3.6252499999999903E-2</v>
      </c>
      <c r="T100">
        <v>2.1870000000000001E-2</v>
      </c>
      <c r="U100">
        <v>1.4142500000000001E-2</v>
      </c>
      <c r="V100">
        <v>7.2675000000000101E-3</v>
      </c>
      <c r="W100">
        <v>4.4625000000000003E-3</v>
      </c>
      <c r="X100" s="2">
        <v>1.10000000000028E-4</v>
      </c>
      <c r="Y100" s="2">
        <v>2.0624999999986301E-4</v>
      </c>
      <c r="Z100" s="2">
        <v>4.12499999993945E-5</v>
      </c>
      <c r="AA100" s="2">
        <v>1.5124999999996001E-4</v>
      </c>
      <c r="AB100" s="2">
        <v>1.6500000000002101E-4</v>
      </c>
      <c r="AC100" s="2">
        <v>4.1250000000010503E-5</v>
      </c>
      <c r="AD100">
        <v>297.20349431926002</v>
      </c>
      <c r="AE100">
        <v>297.05495431999998</v>
      </c>
      <c r="AF100">
        <v>-0.21135526941820901</v>
      </c>
      <c r="AG100">
        <v>-0.216373458927828</v>
      </c>
      <c r="AH100" s="7">
        <v>0.67003771962658598</v>
      </c>
      <c r="AI100" s="7">
        <v>0.666015624999999</v>
      </c>
    </row>
    <row r="101" spans="1:35" x14ac:dyDescent="0.25">
      <c r="A101">
        <v>3</v>
      </c>
      <c r="B101" s="1">
        <v>45433</v>
      </c>
      <c r="C101" s="1">
        <v>45430</v>
      </c>
      <c r="D101" s="3">
        <f t="shared" si="1"/>
        <v>3</v>
      </c>
      <c r="E101" t="s">
        <v>36</v>
      </c>
      <c r="F101" t="s">
        <v>34</v>
      </c>
      <c r="G101">
        <v>43.88</v>
      </c>
      <c r="H101">
        <v>30</v>
      </c>
      <c r="I101" t="s">
        <v>35</v>
      </c>
      <c r="J101">
        <v>1</v>
      </c>
      <c r="K101">
        <v>2.62</v>
      </c>
      <c r="L101">
        <v>1.4568312101910799E-2</v>
      </c>
      <c r="M101">
        <v>3.6683742038216498E-2</v>
      </c>
      <c r="N101">
        <v>9.5235509554140105E-3</v>
      </c>
      <c r="O101" s="2">
        <v>2.7777070063693599E-4</v>
      </c>
      <c r="P101" s="2">
        <v>9.5429936305736404E-5</v>
      </c>
      <c r="Q101">
        <v>1.7240605095541399E-3</v>
      </c>
      <c r="R101">
        <v>1.47474999999999E-2</v>
      </c>
      <c r="S101">
        <v>3.6857499999999897E-2</v>
      </c>
      <c r="T101">
        <v>9.6050000000000007E-3</v>
      </c>
      <c r="U101" s="2">
        <v>3.3749999999998999E-4</v>
      </c>
      <c r="V101" s="2">
        <v>9.0000000000006701E-5</v>
      </c>
      <c r="W101">
        <v>1.7675E-3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294.86872776968102</v>
      </c>
      <c r="AE101">
        <v>294.864003499999</v>
      </c>
      <c r="AF101">
        <v>-0.94401685863499896</v>
      </c>
      <c r="AG101">
        <v>-0.932109630374656</v>
      </c>
      <c r="AH101" s="7">
        <v>0.99480463391149099</v>
      </c>
      <c r="AI101" s="7">
        <v>0.99512822247783905</v>
      </c>
    </row>
    <row r="102" spans="1:35" x14ac:dyDescent="0.25">
      <c r="A102">
        <v>4</v>
      </c>
      <c r="B102" s="1">
        <v>45433</v>
      </c>
      <c r="C102" s="1">
        <v>45430</v>
      </c>
      <c r="D102" s="3">
        <f t="shared" si="1"/>
        <v>3</v>
      </c>
      <c r="E102" t="s">
        <v>36</v>
      </c>
      <c r="F102" t="s">
        <v>34</v>
      </c>
      <c r="G102">
        <v>43.88</v>
      </c>
      <c r="H102">
        <v>30</v>
      </c>
      <c r="I102" t="s">
        <v>35</v>
      </c>
      <c r="J102">
        <v>3</v>
      </c>
      <c r="K102">
        <v>2.65</v>
      </c>
      <c r="L102">
        <v>1.23061612021857E-2</v>
      </c>
      <c r="M102">
        <v>4.6160689890710302E-2</v>
      </c>
      <c r="N102">
        <v>1.9003726092896099E-2</v>
      </c>
      <c r="O102">
        <v>3.3289525273223999E-2</v>
      </c>
      <c r="P102">
        <v>3.09425204918032E-2</v>
      </c>
      <c r="Q102">
        <v>2.4294620901639301E-2</v>
      </c>
      <c r="R102">
        <v>8.2574999999999992E-3</v>
      </c>
      <c r="S102">
        <v>4.3952499999999999E-2</v>
      </c>
      <c r="T102">
        <v>1.65899999999999E-2</v>
      </c>
      <c r="U102">
        <v>2.9652499999999998E-2</v>
      </c>
      <c r="V102">
        <v>3.02024999999999E-2</v>
      </c>
      <c r="W102">
        <v>2.3464999999999899E-2</v>
      </c>
      <c r="X102">
        <v>1.4819412943838199E-3</v>
      </c>
      <c r="Y102" s="2">
        <v>9.5024338987445296E-4</v>
      </c>
      <c r="Z102" s="2">
        <v>3.55260076876397E-4</v>
      </c>
      <c r="AA102" s="2">
        <v>7.0684451378411105E-4</v>
      </c>
      <c r="AB102">
        <v>2.1668650550199699E-3</v>
      </c>
      <c r="AC102">
        <v>1.4065980433498201E-3</v>
      </c>
      <c r="AD102">
        <v>294.60330009475399</v>
      </c>
      <c r="AE102">
        <v>294.58372585999899</v>
      </c>
      <c r="AF102">
        <v>0.27195642325952402</v>
      </c>
      <c r="AG102">
        <v>0.282478239714548</v>
      </c>
      <c r="AH102" s="7">
        <v>0.18679248002413901</v>
      </c>
      <c r="AI102" s="7">
        <v>0.18542242599959499</v>
      </c>
    </row>
    <row r="103" spans="1:35" x14ac:dyDescent="0.25">
      <c r="A103">
        <v>5</v>
      </c>
      <c r="B103" s="1">
        <v>45433</v>
      </c>
      <c r="C103" s="1">
        <v>45430</v>
      </c>
      <c r="D103" s="3">
        <f t="shared" si="1"/>
        <v>3</v>
      </c>
      <c r="E103" t="s">
        <v>36</v>
      </c>
      <c r="F103" t="s">
        <v>34</v>
      </c>
      <c r="G103">
        <v>43.88</v>
      </c>
      <c r="H103">
        <v>30</v>
      </c>
      <c r="I103" t="s">
        <v>35</v>
      </c>
      <c r="J103">
        <v>3</v>
      </c>
      <c r="K103">
        <v>3.78</v>
      </c>
      <c r="L103">
        <v>2.40418037974683E-2</v>
      </c>
      <c r="M103">
        <v>5.0973180379746803E-2</v>
      </c>
      <c r="N103">
        <v>2.3527449367088601E-2</v>
      </c>
      <c r="O103">
        <v>7.9756772151898699E-3</v>
      </c>
      <c r="P103">
        <v>2.8037974683544202E-3</v>
      </c>
      <c r="Q103">
        <v>2.56332911392403E-3</v>
      </c>
      <c r="R103">
        <v>2.52249999999999E-2</v>
      </c>
      <c r="S103">
        <v>5.13775E-2</v>
      </c>
      <c r="T103">
        <v>2.4372499999999901E-2</v>
      </c>
      <c r="U103">
        <v>8.8624999999999902E-3</v>
      </c>
      <c r="V103">
        <v>2.8124999999999899E-3</v>
      </c>
      <c r="W103">
        <v>2.61999999999998E-3</v>
      </c>
      <c r="X103" s="2">
        <v>2.4733018865939001E-4</v>
      </c>
      <c r="Y103" s="2">
        <v>3.5288690350674198E-4</v>
      </c>
      <c r="Z103" s="2">
        <v>2.05791156272531E-4</v>
      </c>
      <c r="AA103" s="2">
        <v>2.01249568667568E-4</v>
      </c>
      <c r="AB103" s="2">
        <v>2.3762715894162E-4</v>
      </c>
      <c r="AC103" s="2">
        <v>7.7781745930518301E-5</v>
      </c>
      <c r="AD103">
        <v>295.50219542668299</v>
      </c>
      <c r="AE103">
        <v>295.47582907999998</v>
      </c>
      <c r="AF103">
        <v>-0.49937474957335998</v>
      </c>
      <c r="AG103">
        <v>-0.47018382902406203</v>
      </c>
      <c r="AH103" s="7">
        <v>0.89598409465596596</v>
      </c>
      <c r="AI103" s="7">
        <v>0.89572227001190097</v>
      </c>
    </row>
    <row r="104" spans="1:35" x14ac:dyDescent="0.25">
      <c r="A104">
        <v>7</v>
      </c>
      <c r="B104" s="1">
        <v>45433</v>
      </c>
      <c r="C104" s="1">
        <v>45430</v>
      </c>
      <c r="D104" s="3">
        <f t="shared" si="1"/>
        <v>3</v>
      </c>
      <c r="E104" t="s">
        <v>36</v>
      </c>
      <c r="F104" t="s">
        <v>34</v>
      </c>
      <c r="G104">
        <v>43.88</v>
      </c>
      <c r="H104">
        <v>30</v>
      </c>
      <c r="I104" t="s">
        <v>35</v>
      </c>
      <c r="J104">
        <v>1</v>
      </c>
      <c r="K104">
        <v>2.11</v>
      </c>
      <c r="L104">
        <v>7.1506079404466396E-3</v>
      </c>
      <c r="M104">
        <v>2.7894069478908101E-2</v>
      </c>
      <c r="N104">
        <v>6.1277171215880803E-3</v>
      </c>
      <c r="O104" s="2">
        <v>9.4503722084358005E-5</v>
      </c>
      <c r="P104" s="2">
        <v>1.71817617865999E-4</v>
      </c>
      <c r="Q104">
        <v>1.4188027295285301E-3</v>
      </c>
      <c r="R104">
        <v>6.8274999999999803E-3</v>
      </c>
      <c r="S104">
        <v>2.7810000000000001E-2</v>
      </c>
      <c r="T104">
        <v>6.0024999999999896E-3</v>
      </c>
      <c r="U104" s="2">
        <v>-1.02500000000005E-4</v>
      </c>
      <c r="V104" s="2">
        <v>1.17499999999992E-4</v>
      </c>
      <c r="W104">
        <v>1.4375E-3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295.44761133176098</v>
      </c>
      <c r="AE104">
        <v>295.45532095999999</v>
      </c>
      <c r="AF104">
        <v>-0.71843339482409296</v>
      </c>
      <c r="AG104">
        <v>-0.72419928825623103</v>
      </c>
      <c r="AH104" s="7">
        <v>0.98799127982789703</v>
      </c>
      <c r="AI104" s="7">
        <v>0.99158535493689004</v>
      </c>
    </row>
    <row r="105" spans="1:35" x14ac:dyDescent="0.25">
      <c r="A105">
        <v>8</v>
      </c>
      <c r="B105" s="1">
        <v>45433</v>
      </c>
      <c r="C105" s="1">
        <v>45430</v>
      </c>
      <c r="D105" s="3">
        <f t="shared" si="1"/>
        <v>3</v>
      </c>
      <c r="E105" t="s">
        <v>36</v>
      </c>
      <c r="F105" t="s">
        <v>34</v>
      </c>
      <c r="G105">
        <v>43.88</v>
      </c>
      <c r="H105">
        <v>30</v>
      </c>
      <c r="I105" t="s">
        <v>35</v>
      </c>
      <c r="J105">
        <v>3</v>
      </c>
      <c r="K105">
        <v>2.2200000000000002</v>
      </c>
      <c r="L105">
        <v>2.42485763888888E-2</v>
      </c>
      <c r="M105">
        <v>3.9126250000000001E-2</v>
      </c>
      <c r="N105">
        <v>1.8352326388888798E-2</v>
      </c>
      <c r="O105">
        <v>1.23005208333333E-2</v>
      </c>
      <c r="P105">
        <v>3.9018055555555598E-3</v>
      </c>
      <c r="Q105">
        <v>2.9176388888888698E-3</v>
      </c>
      <c r="R105">
        <v>2.40974999999999E-2</v>
      </c>
      <c r="S105">
        <v>3.8892499999999899E-2</v>
      </c>
      <c r="T105">
        <v>1.8350000000000002E-2</v>
      </c>
      <c r="U105">
        <v>1.2547499999999901E-2</v>
      </c>
      <c r="V105">
        <v>3.4450000000000001E-3</v>
      </c>
      <c r="W105">
        <v>2.6749999999999799E-3</v>
      </c>
      <c r="X105">
        <v>1.09517692634572E-3</v>
      </c>
      <c r="Y105">
        <v>1.04314894536792E-3</v>
      </c>
      <c r="Z105" s="2">
        <v>6.9218956138391305E-4</v>
      </c>
      <c r="AA105" s="2">
        <v>5.0524883858241902E-4</v>
      </c>
      <c r="AB105" s="2">
        <v>7.4278286792903603E-4</v>
      </c>
      <c r="AC105" s="2">
        <v>6.4179760568785701E-4</v>
      </c>
      <c r="AD105">
        <v>295.64581083977203</v>
      </c>
      <c r="AE105">
        <v>295.62963997999998</v>
      </c>
      <c r="AF105">
        <v>-0.197634175177793</v>
      </c>
      <c r="AG105">
        <v>-0.201948295241663</v>
      </c>
      <c r="AH105" s="7">
        <v>0.81986975635134596</v>
      </c>
      <c r="AI105" s="7">
        <v>0.84267610457814801</v>
      </c>
    </row>
    <row r="106" spans="1:35" x14ac:dyDescent="0.25">
      <c r="A106">
        <v>9</v>
      </c>
      <c r="B106" s="1">
        <v>45433</v>
      </c>
      <c r="C106" s="1">
        <v>45430</v>
      </c>
      <c r="D106" s="3">
        <f t="shared" si="1"/>
        <v>3</v>
      </c>
      <c r="E106" t="s">
        <v>36</v>
      </c>
      <c r="F106" t="s">
        <v>34</v>
      </c>
      <c r="G106">
        <v>43.88</v>
      </c>
      <c r="H106">
        <v>30</v>
      </c>
      <c r="I106" t="s">
        <v>35</v>
      </c>
      <c r="J106">
        <v>2</v>
      </c>
      <c r="K106">
        <v>3.91</v>
      </c>
      <c r="L106">
        <v>2.1113784898477098E-2</v>
      </c>
      <c r="M106">
        <v>3.3646595812182697E-2</v>
      </c>
      <c r="N106">
        <v>1.49546224619289E-2</v>
      </c>
      <c r="O106">
        <v>9.6108629441624301E-3</v>
      </c>
      <c r="P106">
        <v>2.5822398477157202E-3</v>
      </c>
      <c r="Q106">
        <v>2.1192417512690301E-3</v>
      </c>
      <c r="R106">
        <v>1.92299999999999E-2</v>
      </c>
      <c r="S106">
        <v>3.2347500000000001E-2</v>
      </c>
      <c r="T106">
        <v>1.40325E-2</v>
      </c>
      <c r="U106">
        <v>8.9999999999999993E-3</v>
      </c>
      <c r="V106">
        <v>2.5649999999999801E-3</v>
      </c>
      <c r="W106">
        <v>1.9875000000000001E-3</v>
      </c>
      <c r="X106">
        <v>2.96999999999999E-3</v>
      </c>
      <c r="Y106">
        <v>1.9250000000000001E-3</v>
      </c>
      <c r="Z106">
        <v>1.63624999999998E-3</v>
      </c>
      <c r="AA106">
        <v>1.0037499999999899E-3</v>
      </c>
      <c r="AB106" s="2">
        <v>2.7499999999991598E-5</v>
      </c>
      <c r="AC106" s="2">
        <v>1.37500000000035E-5</v>
      </c>
      <c r="AD106">
        <v>295.76980482553301</v>
      </c>
      <c r="AE106">
        <v>295.77661483999998</v>
      </c>
      <c r="AF106">
        <v>-0.21912112517207699</v>
      </c>
      <c r="AG106">
        <v>-0.21849560403777199</v>
      </c>
      <c r="AH106" s="7">
        <v>0.85788761563910299</v>
      </c>
      <c r="AI106" s="7">
        <v>0.85306122448979604</v>
      </c>
    </row>
    <row r="107" spans="1:35" x14ac:dyDescent="0.25">
      <c r="A107">
        <v>10</v>
      </c>
      <c r="B107" s="1">
        <v>45433</v>
      </c>
      <c r="C107" s="1">
        <v>45430</v>
      </c>
      <c r="D107" s="3">
        <f t="shared" si="1"/>
        <v>3</v>
      </c>
      <c r="E107" t="s">
        <v>36</v>
      </c>
      <c r="F107" t="s">
        <v>34</v>
      </c>
      <c r="G107">
        <v>43.88</v>
      </c>
      <c r="H107">
        <v>30</v>
      </c>
      <c r="I107" t="s">
        <v>35</v>
      </c>
      <c r="J107">
        <v>3</v>
      </c>
      <c r="K107">
        <v>8.01</v>
      </c>
      <c r="L107">
        <v>1.0975935089974201E-2</v>
      </c>
      <c r="M107">
        <v>2.7712830976863698E-2</v>
      </c>
      <c r="N107">
        <v>1.06667544987146E-2</v>
      </c>
      <c r="O107">
        <v>8.9257358611825096E-3</v>
      </c>
      <c r="P107">
        <v>3.45609897172236E-3</v>
      </c>
      <c r="Q107">
        <v>2.9493284061696602E-3</v>
      </c>
      <c r="R107">
        <v>9.8524999999999793E-3</v>
      </c>
      <c r="S107">
        <v>2.7314999999999999E-2</v>
      </c>
      <c r="T107">
        <v>1.0264999999999899E-2</v>
      </c>
      <c r="U107">
        <v>8.8074999999999907E-3</v>
      </c>
      <c r="V107">
        <v>3.4450000000000001E-3</v>
      </c>
      <c r="W107">
        <v>2.9499999999999999E-3</v>
      </c>
      <c r="X107">
        <v>1.4388455055664899E-3</v>
      </c>
      <c r="Y107" s="2">
        <v>4.4926019434438303E-4</v>
      </c>
      <c r="Z107" s="2">
        <v>5.6373136825580697E-4</v>
      </c>
      <c r="AA107" s="2">
        <v>4.7649035200678899E-4</v>
      </c>
      <c r="AB107" s="2">
        <v>4.6741012207921602E-5</v>
      </c>
      <c r="AC107" s="2">
        <v>2.2453655975518201E-5</v>
      </c>
      <c r="AD107">
        <v>295.71972106236501</v>
      </c>
      <c r="AE107">
        <v>295.70825444000002</v>
      </c>
      <c r="AF107">
        <v>-8.8664024008159995E-2</v>
      </c>
      <c r="AG107">
        <v>-9.6491228070174601E-2</v>
      </c>
      <c r="AH107" s="7">
        <v>0.778174096604345</v>
      </c>
      <c r="AI107" s="7">
        <v>0.77860758443282596</v>
      </c>
    </row>
    <row r="108" spans="1:35" x14ac:dyDescent="0.25">
      <c r="A108">
        <v>11</v>
      </c>
      <c r="B108" s="1">
        <v>45433</v>
      </c>
      <c r="C108" s="1">
        <v>45430</v>
      </c>
      <c r="D108" s="3">
        <f t="shared" si="1"/>
        <v>3</v>
      </c>
      <c r="E108" t="s">
        <v>36</v>
      </c>
      <c r="F108" t="s">
        <v>34</v>
      </c>
      <c r="G108">
        <v>43.88</v>
      </c>
      <c r="H108">
        <v>30</v>
      </c>
      <c r="I108" t="s">
        <v>35</v>
      </c>
      <c r="J108">
        <v>2</v>
      </c>
      <c r="K108">
        <v>16.28</v>
      </c>
      <c r="L108">
        <v>2.6476495535714201E-2</v>
      </c>
      <c r="M108">
        <v>3.99038616071428E-2</v>
      </c>
      <c r="N108">
        <v>2.5846065051020401E-2</v>
      </c>
      <c r="O108">
        <v>2.1738182397959101E-2</v>
      </c>
      <c r="P108">
        <v>1.43451371173469E-2</v>
      </c>
      <c r="Q108">
        <v>1.1776307397959099E-2</v>
      </c>
      <c r="R108">
        <v>2.6187499999999999E-2</v>
      </c>
      <c r="S108">
        <v>4.0789999999999903E-2</v>
      </c>
      <c r="T108">
        <v>2.6847499999999899E-2</v>
      </c>
      <c r="U108">
        <v>2.2749999999999899E-2</v>
      </c>
      <c r="V108">
        <v>1.494E-2</v>
      </c>
      <c r="W108">
        <v>1.20524999999999E-2</v>
      </c>
      <c r="X108">
        <v>1.1962499999999699E-3</v>
      </c>
      <c r="Y108" s="2">
        <v>7.1499999999991796E-4</v>
      </c>
      <c r="Z108" s="2">
        <v>7.6999999999998597E-4</v>
      </c>
      <c r="AA108" s="2">
        <v>6.5999999999996303E-4</v>
      </c>
      <c r="AB108" s="2">
        <v>7.1500000000001196E-4</v>
      </c>
      <c r="AC108" s="2">
        <v>5.0874999999999998E-4</v>
      </c>
      <c r="AD108">
        <v>296.60810488135201</v>
      </c>
      <c r="AE108">
        <v>296.61402973999998</v>
      </c>
      <c r="AF108">
        <v>-8.7417574704051496E-2</v>
      </c>
      <c r="AG108">
        <v>-8.2615051161852998E-2</v>
      </c>
      <c r="AH108" s="7">
        <v>0.47469057394639502</v>
      </c>
      <c r="AI108" s="7">
        <v>0.46384353131168099</v>
      </c>
    </row>
    <row r="109" spans="1:35" x14ac:dyDescent="0.25">
      <c r="A109">
        <v>1</v>
      </c>
      <c r="B109" s="1">
        <v>45454</v>
      </c>
      <c r="C109" s="1">
        <v>45454</v>
      </c>
      <c r="D109" s="3">
        <f t="shared" si="1"/>
        <v>0</v>
      </c>
      <c r="E109" t="s">
        <v>33</v>
      </c>
      <c r="F109" t="s">
        <v>34</v>
      </c>
      <c r="G109">
        <v>42.78</v>
      </c>
      <c r="H109">
        <v>30</v>
      </c>
      <c r="I109" t="s">
        <v>35</v>
      </c>
      <c r="J109">
        <v>3</v>
      </c>
      <c r="K109" s="5">
        <v>4.3</v>
      </c>
      <c r="L109">
        <v>2.31926905972045E-2</v>
      </c>
      <c r="M109">
        <v>5.2503043202033001E-2</v>
      </c>
      <c r="N109">
        <v>3.2035810038119401E-2</v>
      </c>
      <c r="O109">
        <v>2.8011340533672099E-2</v>
      </c>
      <c r="P109">
        <v>2.341E-2</v>
      </c>
      <c r="Q109">
        <v>2.1015892630241399E-2</v>
      </c>
      <c r="R109">
        <v>2.4647499999999899E-2</v>
      </c>
      <c r="S109">
        <v>5.2284999999999901E-2</v>
      </c>
      <c r="T109">
        <v>3.1219999999999901E-2</v>
      </c>
      <c r="U109">
        <v>2.83325E-2</v>
      </c>
      <c r="V109">
        <v>2.37124999999999E-2</v>
      </c>
      <c r="W109">
        <v>2.1402499999999901E-2</v>
      </c>
      <c r="X109">
        <v>1.67291038811608E-3</v>
      </c>
      <c r="Y109">
        <v>1.3485285190408701E-3</v>
      </c>
      <c r="Z109">
        <v>1.5506575666113099E-3</v>
      </c>
      <c r="AA109">
        <v>1.9326237922115399E-3</v>
      </c>
      <c r="AB109">
        <v>1.4965548399203099E-3</v>
      </c>
      <c r="AC109">
        <v>1.05945413093513E-3</v>
      </c>
      <c r="AD109">
        <v>294.78001662482802</v>
      </c>
      <c r="AE109">
        <v>294.76829894000002</v>
      </c>
      <c r="AF109">
        <v>-6.7701410078685798E-2</v>
      </c>
      <c r="AG109">
        <v>-6.8004817342432994E-2</v>
      </c>
      <c r="AH109" s="7">
        <v>0.38435691464843003</v>
      </c>
      <c r="AI109" s="7">
        <v>0.37596631468140301</v>
      </c>
    </row>
    <row r="110" spans="1:35" x14ac:dyDescent="0.25">
      <c r="A110">
        <v>2</v>
      </c>
      <c r="B110" s="1">
        <v>45454</v>
      </c>
      <c r="C110" s="1">
        <v>45454</v>
      </c>
      <c r="D110" s="3">
        <f t="shared" si="1"/>
        <v>0</v>
      </c>
      <c r="E110" t="s">
        <v>33</v>
      </c>
      <c r="F110" t="s">
        <v>34</v>
      </c>
      <c r="G110">
        <v>42.78</v>
      </c>
      <c r="H110">
        <v>30</v>
      </c>
      <c r="I110" t="s">
        <v>35</v>
      </c>
      <c r="J110">
        <v>2</v>
      </c>
      <c r="K110" s="5">
        <v>4.63</v>
      </c>
      <c r="L110" s="2">
        <v>7.5505102040816297E-4</v>
      </c>
      <c r="M110">
        <v>2.0399241071428501E-2</v>
      </c>
      <c r="N110">
        <v>3.6990943877550902E-3</v>
      </c>
      <c r="O110">
        <v>2.6553571428571299E-3</v>
      </c>
      <c r="P110">
        <v>3.28571747448979E-3</v>
      </c>
      <c r="Q110">
        <v>4.0176243622448904E-3</v>
      </c>
      <c r="R110">
        <v>2.7850000000000001E-3</v>
      </c>
      <c r="S110">
        <v>2.3657499999999901E-2</v>
      </c>
      <c r="T110">
        <v>5.8374999999999903E-3</v>
      </c>
      <c r="U110">
        <v>2.7024999999999901E-3</v>
      </c>
      <c r="V110">
        <v>2.5924999999999902E-3</v>
      </c>
      <c r="W110">
        <v>3.4724999999999799E-3</v>
      </c>
      <c r="X110">
        <v>3.9599999999999896E-3</v>
      </c>
      <c r="Y110">
        <v>5.5962499999999901E-3</v>
      </c>
      <c r="Z110">
        <v>3.67125E-3</v>
      </c>
      <c r="AA110" s="2">
        <v>8.5250000000000495E-4</v>
      </c>
      <c r="AB110" s="2">
        <v>1.6499999999999799E-4</v>
      </c>
      <c r="AC110" s="2">
        <v>1.5124999999998801E-4</v>
      </c>
      <c r="AD110">
        <v>294.64157933627502</v>
      </c>
      <c r="AE110">
        <v>294.62474209999999</v>
      </c>
      <c r="AF110">
        <v>-0.32407972229771698</v>
      </c>
      <c r="AG110">
        <v>-0.33687600723349498</v>
      </c>
      <c r="AH110" s="7">
        <v>0.73471793083877901</v>
      </c>
      <c r="AI110" s="7">
        <v>0.72651842017922397</v>
      </c>
    </row>
    <row r="111" spans="1:35" x14ac:dyDescent="0.25">
      <c r="A111">
        <v>4</v>
      </c>
      <c r="B111" s="1">
        <v>45454</v>
      </c>
      <c r="C111" s="1">
        <v>45454</v>
      </c>
      <c r="D111" s="3">
        <f t="shared" si="1"/>
        <v>0</v>
      </c>
      <c r="E111" t="s">
        <v>33</v>
      </c>
      <c r="F111" t="s">
        <v>34</v>
      </c>
      <c r="G111">
        <v>42.78</v>
      </c>
      <c r="H111">
        <v>30</v>
      </c>
      <c r="I111" t="s">
        <v>35</v>
      </c>
      <c r="J111">
        <v>3</v>
      </c>
      <c r="K111" s="5">
        <v>5.72</v>
      </c>
      <c r="L111">
        <v>2.2051168341708501E-2</v>
      </c>
      <c r="M111">
        <v>4.5789714195979901E-2</v>
      </c>
      <c r="N111">
        <v>2.6553153266331599E-2</v>
      </c>
      <c r="O111">
        <v>1.7867126256281399E-2</v>
      </c>
      <c r="P111">
        <v>1.6094274497487401E-2</v>
      </c>
      <c r="Q111">
        <v>1.5154921482411999E-2</v>
      </c>
      <c r="R111">
        <v>2.2034999999999999E-2</v>
      </c>
      <c r="S111">
        <v>4.5712499999999899E-2</v>
      </c>
      <c r="T111">
        <v>2.7040000000000002E-2</v>
      </c>
      <c r="U111">
        <v>1.7552499999999999E-2</v>
      </c>
      <c r="V111">
        <v>1.593E-2</v>
      </c>
      <c r="W111">
        <v>1.5325E-2</v>
      </c>
      <c r="X111" s="2">
        <v>9.0958094746976703E-4</v>
      </c>
      <c r="Y111" s="2">
        <v>8.6303083503555598E-4</v>
      </c>
      <c r="Z111">
        <v>1.02166190863494E-3</v>
      </c>
      <c r="AA111">
        <v>1.21892541472673E-3</v>
      </c>
      <c r="AB111">
        <v>1.4105352608929E-3</v>
      </c>
      <c r="AC111">
        <v>1.1075366811081099E-3</v>
      </c>
      <c r="AD111">
        <v>294.97766984097899</v>
      </c>
      <c r="AE111">
        <v>294.97338014000002</v>
      </c>
      <c r="AF111">
        <v>-0.19655714249239201</v>
      </c>
      <c r="AG111">
        <v>-0.19624042145593801</v>
      </c>
      <c r="AH111" s="7">
        <v>0.48111364237105902</v>
      </c>
      <c r="AI111" s="7">
        <v>0.47525111944814202</v>
      </c>
    </row>
    <row r="112" spans="1:35" x14ac:dyDescent="0.25">
      <c r="A112">
        <v>6</v>
      </c>
      <c r="B112" s="1">
        <v>45454</v>
      </c>
      <c r="C112" s="1">
        <v>45454</v>
      </c>
      <c r="D112" s="3">
        <f t="shared" si="1"/>
        <v>0</v>
      </c>
      <c r="E112" t="s">
        <v>33</v>
      </c>
      <c r="F112" t="s">
        <v>34</v>
      </c>
      <c r="G112">
        <v>42.78</v>
      </c>
      <c r="H112">
        <v>30</v>
      </c>
      <c r="I112" t="s">
        <v>35</v>
      </c>
      <c r="J112">
        <v>3</v>
      </c>
      <c r="K112" s="5">
        <v>5.13</v>
      </c>
      <c r="L112">
        <v>3.02545997458703E-2</v>
      </c>
      <c r="M112">
        <v>5.6037824015247699E-2</v>
      </c>
      <c r="N112">
        <v>3.7472318932655603E-2</v>
      </c>
      <c r="O112">
        <v>3.0492770012706401E-2</v>
      </c>
      <c r="P112">
        <v>2.63553303684879E-2</v>
      </c>
      <c r="Q112">
        <v>2.33689072426937E-2</v>
      </c>
      <c r="R112">
        <v>3.08624999999999E-2</v>
      </c>
      <c r="S112">
        <v>5.6822499999999998E-2</v>
      </c>
      <c r="T112">
        <v>3.8122499999999997E-2</v>
      </c>
      <c r="U112">
        <v>3.1329999999999997E-2</v>
      </c>
      <c r="V112">
        <v>2.7232499999999899E-2</v>
      </c>
      <c r="W112">
        <v>2.41524999999999E-2</v>
      </c>
      <c r="X112">
        <v>5.4232125831671302E-3</v>
      </c>
      <c r="Y112">
        <v>4.0308534042640199E-3</v>
      </c>
      <c r="Z112">
        <v>4.4052104565691997E-3</v>
      </c>
      <c r="AA112">
        <v>4.2100654851069596E-3</v>
      </c>
      <c r="AB112">
        <v>3.1827479828321599E-3</v>
      </c>
      <c r="AC112">
        <v>2.84500610231721E-3</v>
      </c>
      <c r="AD112">
        <v>294.94032480299802</v>
      </c>
      <c r="AE112">
        <v>294.91527380000002</v>
      </c>
      <c r="AF112">
        <v>-0.103981667788311</v>
      </c>
      <c r="AG112">
        <v>-9.7800655124005695E-2</v>
      </c>
      <c r="AH112" s="7">
        <v>0.36208511017901701</v>
      </c>
      <c r="AI112" s="7">
        <v>0.35203140800666199</v>
      </c>
    </row>
    <row r="113" spans="1:35" x14ac:dyDescent="0.25">
      <c r="A113">
        <v>7</v>
      </c>
      <c r="B113" s="1">
        <v>45454</v>
      </c>
      <c r="C113" s="1">
        <v>45454</v>
      </c>
      <c r="D113" s="3">
        <f t="shared" si="1"/>
        <v>0</v>
      </c>
      <c r="E113" t="s">
        <v>33</v>
      </c>
      <c r="F113" t="s">
        <v>34</v>
      </c>
      <c r="G113">
        <v>42.78</v>
      </c>
      <c r="H113">
        <v>30</v>
      </c>
      <c r="I113" t="s">
        <v>35</v>
      </c>
      <c r="J113">
        <v>3</v>
      </c>
      <c r="K113" s="5">
        <v>7.47</v>
      </c>
      <c r="L113">
        <v>3.1198846153846101E-2</v>
      </c>
      <c r="M113">
        <v>5.1983679066834799E-2</v>
      </c>
      <c r="N113">
        <v>3.7017298234552298E-2</v>
      </c>
      <c r="O113">
        <v>2.8191809583858699E-2</v>
      </c>
      <c r="P113">
        <v>2.3853433165195399E-2</v>
      </c>
      <c r="Q113">
        <v>2.1615078814628E-2</v>
      </c>
      <c r="R113">
        <v>3.0367499999999902E-2</v>
      </c>
      <c r="S113">
        <v>5.1130000000000002E-2</v>
      </c>
      <c r="T113">
        <v>3.5647499999999999E-2</v>
      </c>
      <c r="U113">
        <v>2.79474999999999E-2</v>
      </c>
      <c r="V113">
        <v>2.4235E-2</v>
      </c>
      <c r="W113">
        <v>2.198E-2</v>
      </c>
      <c r="X113">
        <v>1.7394459526591799E-3</v>
      </c>
      <c r="Y113">
        <v>1.4386702965661401E-3</v>
      </c>
      <c r="Z113">
        <v>1.69208820692069E-3</v>
      </c>
      <c r="AA113">
        <v>1.6002070178573701E-3</v>
      </c>
      <c r="AB113">
        <v>1.73378479697518E-3</v>
      </c>
      <c r="AC113">
        <v>1.28405336943431E-3</v>
      </c>
      <c r="AD113">
        <v>295.17372007644298</v>
      </c>
      <c r="AE113">
        <v>295.17504331999999</v>
      </c>
      <c r="AF113">
        <v>-0.13586264466527001</v>
      </c>
      <c r="AG113">
        <v>-0.12977933143980699</v>
      </c>
      <c r="AH113" s="7">
        <v>0.37198060674432398</v>
      </c>
      <c r="AI113" s="7">
        <v>0.35717450471548801</v>
      </c>
    </row>
    <row r="114" spans="1:35" x14ac:dyDescent="0.25">
      <c r="A114">
        <v>8</v>
      </c>
      <c r="B114" s="1">
        <v>45454</v>
      </c>
      <c r="C114" s="1">
        <v>45454</v>
      </c>
      <c r="D114" s="3">
        <f t="shared" si="1"/>
        <v>0</v>
      </c>
      <c r="E114" t="s">
        <v>33</v>
      </c>
      <c r="F114" t="s">
        <v>34</v>
      </c>
      <c r="G114">
        <v>42.78</v>
      </c>
      <c r="H114">
        <v>30</v>
      </c>
      <c r="I114" t="s">
        <v>35</v>
      </c>
      <c r="J114">
        <v>3</v>
      </c>
      <c r="K114" s="5">
        <v>9.6300000000000008</v>
      </c>
      <c r="L114">
        <v>3.4562881944444401E-2</v>
      </c>
      <c r="M114">
        <v>4.9569374999999999E-2</v>
      </c>
      <c r="N114">
        <v>3.6977465277777698E-2</v>
      </c>
      <c r="O114">
        <v>2.9747048611111101E-2</v>
      </c>
      <c r="P114">
        <v>2.1514861111111099E-2</v>
      </c>
      <c r="Q114">
        <v>1.9121145833333301E-2</v>
      </c>
      <c r="R114">
        <v>3.5757499999999998E-2</v>
      </c>
      <c r="S114">
        <v>5.0387499999999898E-2</v>
      </c>
      <c r="T114">
        <v>3.80949999999999E-2</v>
      </c>
      <c r="U114">
        <v>3.02024999999999E-2</v>
      </c>
      <c r="V114">
        <v>2.1815000000000001E-2</v>
      </c>
      <c r="W114">
        <v>1.9504999999999901E-2</v>
      </c>
      <c r="X114">
        <v>2.81310647782046E-3</v>
      </c>
      <c r="Y114">
        <v>1.89362123691315E-3</v>
      </c>
      <c r="Z114">
        <v>1.7186949991198899E-3</v>
      </c>
      <c r="AA114">
        <v>1.05723105327069E-3</v>
      </c>
      <c r="AB114" s="2">
        <v>1.29636243217427E-4</v>
      </c>
      <c r="AC114" s="2">
        <v>3.8303067762260199E-4</v>
      </c>
      <c r="AD114">
        <v>295.31208779613598</v>
      </c>
      <c r="AE114">
        <v>295.33227224000001</v>
      </c>
      <c r="AF114">
        <v>-0.108594021998502</v>
      </c>
      <c r="AG114">
        <v>-0.11353515827263599</v>
      </c>
      <c r="AH114" s="7">
        <v>0.394293811951553</v>
      </c>
      <c r="AI114" s="7">
        <v>0.39043151322824299</v>
      </c>
    </row>
    <row r="115" spans="1:35" x14ac:dyDescent="0.25">
      <c r="A115">
        <v>9</v>
      </c>
      <c r="B115" s="1">
        <v>45454</v>
      </c>
      <c r="C115" s="1">
        <v>45454</v>
      </c>
      <c r="D115" s="3">
        <f t="shared" si="1"/>
        <v>0</v>
      </c>
      <c r="E115" t="s">
        <v>33</v>
      </c>
      <c r="F115" t="s">
        <v>34</v>
      </c>
      <c r="G115">
        <v>42.78</v>
      </c>
      <c r="H115">
        <v>30</v>
      </c>
      <c r="I115" t="s">
        <v>35</v>
      </c>
      <c r="J115">
        <v>2</v>
      </c>
      <c r="K115" s="5">
        <v>8.85</v>
      </c>
      <c r="L115">
        <v>2.42973635786802E-2</v>
      </c>
      <c r="M115">
        <v>4.4611906725888301E-2</v>
      </c>
      <c r="N115">
        <v>3.17767354060913E-2</v>
      </c>
      <c r="O115">
        <v>2.5878683375634499E-2</v>
      </c>
      <c r="P115">
        <v>2.1954593908629399E-2</v>
      </c>
      <c r="Q115">
        <v>2.0573277284263902E-2</v>
      </c>
      <c r="R115">
        <v>2.6269999999999901E-2</v>
      </c>
      <c r="S115">
        <v>4.6015E-2</v>
      </c>
      <c r="T115">
        <v>3.3447499999999901E-2</v>
      </c>
      <c r="U115">
        <v>2.7369999999999998E-2</v>
      </c>
      <c r="V115">
        <v>2.2172499999999901E-2</v>
      </c>
      <c r="W115">
        <v>2.0522499999999999E-2</v>
      </c>
      <c r="X115">
        <v>3.2862499999999802E-3</v>
      </c>
      <c r="Y115">
        <v>2.1174999999999801E-3</v>
      </c>
      <c r="Z115">
        <v>2.1587500000000101E-3</v>
      </c>
      <c r="AA115">
        <v>1.7737499999999999E-3</v>
      </c>
      <c r="AB115" s="2">
        <v>8.1125000000000901E-4</v>
      </c>
      <c r="AC115" s="2">
        <v>7.0125000000002705E-4</v>
      </c>
      <c r="AD115">
        <v>295.22998755774103</v>
      </c>
      <c r="AE115">
        <v>295.23314965999998</v>
      </c>
      <c r="AF115">
        <v>-0.102488877814011</v>
      </c>
      <c r="AG115">
        <v>-0.100231339407959</v>
      </c>
      <c r="AH115" s="7">
        <v>0.34009367112118899</v>
      </c>
      <c r="AI115" s="7">
        <v>0.34336366602617502</v>
      </c>
    </row>
    <row r="116" spans="1:35" x14ac:dyDescent="0.25">
      <c r="A116">
        <v>10</v>
      </c>
      <c r="B116" s="1">
        <v>45454</v>
      </c>
      <c r="C116" s="1">
        <v>45454</v>
      </c>
      <c r="D116" s="3">
        <f t="shared" si="1"/>
        <v>0</v>
      </c>
      <c r="E116" t="s">
        <v>33</v>
      </c>
      <c r="F116" t="s">
        <v>34</v>
      </c>
      <c r="G116">
        <v>42.78</v>
      </c>
      <c r="H116">
        <v>30</v>
      </c>
      <c r="I116" t="s">
        <v>35</v>
      </c>
      <c r="J116">
        <v>3</v>
      </c>
      <c r="K116" s="5">
        <v>14.81</v>
      </c>
      <c r="L116">
        <v>2.44925032133676E-2</v>
      </c>
      <c r="M116">
        <v>4.9555324550128503E-2</v>
      </c>
      <c r="N116">
        <v>3.57191838046272E-2</v>
      </c>
      <c r="O116">
        <v>2.3409681876606601E-2</v>
      </c>
      <c r="P116">
        <v>1.4308383676092501E-2</v>
      </c>
      <c r="Q116">
        <v>1.20027667095115E-2</v>
      </c>
      <c r="R116">
        <v>2.3244999999999901E-2</v>
      </c>
      <c r="S116">
        <v>4.9479999999999899E-2</v>
      </c>
      <c r="T116">
        <v>3.5729999999999901E-2</v>
      </c>
      <c r="U116">
        <v>2.3657499999999901E-2</v>
      </c>
      <c r="V116">
        <v>1.48574999999999E-2</v>
      </c>
      <c r="W116">
        <v>1.2382499999999901E-2</v>
      </c>
      <c r="X116" s="2">
        <v>4.7170494544311099E-4</v>
      </c>
      <c r="Y116" s="2">
        <v>5.6402940230689696E-4</v>
      </c>
      <c r="Z116" s="2">
        <v>7.9269144200131195E-4</v>
      </c>
      <c r="AA116">
        <v>1.28012097952585E-3</v>
      </c>
      <c r="AB116">
        <v>1.5344791914160599E-3</v>
      </c>
      <c r="AC116">
        <v>1.2029656640523401E-3</v>
      </c>
      <c r="AD116">
        <v>295.82283719015402</v>
      </c>
      <c r="AE116">
        <v>295.81421305999999</v>
      </c>
      <c r="AF116">
        <v>-0.20922535545602999</v>
      </c>
      <c r="AG116">
        <v>-0.20328351925910301</v>
      </c>
      <c r="AH116" s="7">
        <v>0.55413467861958898</v>
      </c>
      <c r="AI116" s="7">
        <v>0.538138721585389</v>
      </c>
    </row>
    <row r="117" spans="1:35" x14ac:dyDescent="0.25">
      <c r="A117">
        <v>3</v>
      </c>
      <c r="B117" s="1">
        <v>45471</v>
      </c>
      <c r="C117" s="1">
        <v>45470</v>
      </c>
      <c r="D117" s="3">
        <f t="shared" si="1"/>
        <v>1</v>
      </c>
      <c r="E117" t="s">
        <v>33</v>
      </c>
      <c r="F117" t="s">
        <v>34</v>
      </c>
      <c r="G117">
        <v>41.08</v>
      </c>
      <c r="H117">
        <v>30</v>
      </c>
      <c r="I117" t="s">
        <v>35</v>
      </c>
      <c r="J117">
        <v>3</v>
      </c>
      <c r="K117" s="6">
        <v>13.45</v>
      </c>
      <c r="L117">
        <v>1.3483952830188601E-2</v>
      </c>
      <c r="M117">
        <v>5.5092144654088002E-2</v>
      </c>
      <c r="N117">
        <v>2.7094031446540798E-2</v>
      </c>
      <c r="O117">
        <v>1.130993081761E-2</v>
      </c>
      <c r="P117">
        <v>1.3183389937106899E-2</v>
      </c>
      <c r="Q117">
        <v>1.33583176100628E-2</v>
      </c>
      <c r="R117">
        <v>1.2355E-2</v>
      </c>
      <c r="S117">
        <v>5.4815000000000003E-2</v>
      </c>
      <c r="T117">
        <v>2.63799999999999E-2</v>
      </c>
      <c r="U117">
        <v>1.07049999999999E-2</v>
      </c>
      <c r="V117">
        <v>1.31799999999999E-2</v>
      </c>
      <c r="W117">
        <v>1.33999999999999E-2</v>
      </c>
      <c r="X117">
        <v>1.9907923464456598E-3</v>
      </c>
      <c r="Y117">
        <v>1.6595970896575499E-3</v>
      </c>
      <c r="Z117">
        <v>1.6233542948680599E-3</v>
      </c>
      <c r="AA117">
        <v>1.5664543295821501E-3</v>
      </c>
      <c r="AB117">
        <v>1.03416901691915E-3</v>
      </c>
      <c r="AC117" s="2">
        <v>9.6629015656097801E-4</v>
      </c>
      <c r="AD117">
        <v>299.18714099237701</v>
      </c>
      <c r="AE117">
        <v>299.1877988</v>
      </c>
      <c r="AF117">
        <v>-0.41398948278683101</v>
      </c>
      <c r="AG117">
        <v>-0.42267763246595602</v>
      </c>
      <c r="AH117" s="7">
        <v>0.61447114518845403</v>
      </c>
      <c r="AI117" s="7">
        <v>0.61232443562026595</v>
      </c>
    </row>
    <row r="118" spans="1:35" x14ac:dyDescent="0.25">
      <c r="A118">
        <v>4</v>
      </c>
      <c r="B118" s="1">
        <v>45471</v>
      </c>
      <c r="C118" s="1">
        <v>45470</v>
      </c>
      <c r="D118" s="3">
        <f t="shared" si="1"/>
        <v>1</v>
      </c>
      <c r="E118" t="s">
        <v>33</v>
      </c>
      <c r="F118" t="s">
        <v>34</v>
      </c>
      <c r="G118">
        <v>41.08</v>
      </c>
      <c r="H118">
        <v>30</v>
      </c>
      <c r="I118" t="s">
        <v>35</v>
      </c>
      <c r="J118">
        <v>3</v>
      </c>
      <c r="K118" s="6">
        <v>14.74</v>
      </c>
      <c r="L118">
        <v>3.5930860552763802E-2</v>
      </c>
      <c r="M118">
        <v>6.6458106155778907E-2</v>
      </c>
      <c r="N118">
        <v>4.2661070979899497E-2</v>
      </c>
      <c r="O118">
        <v>2.5147163944723602E-2</v>
      </c>
      <c r="P118">
        <v>2.1031388190954702E-2</v>
      </c>
      <c r="Q118">
        <v>1.8859890075376799E-2</v>
      </c>
      <c r="R118">
        <v>3.628E-2</v>
      </c>
      <c r="S118">
        <v>6.6749999999999907E-2</v>
      </c>
      <c r="T118">
        <v>4.2852499999999898E-2</v>
      </c>
      <c r="U118">
        <v>2.5472499999999999E-2</v>
      </c>
      <c r="V118">
        <v>2.1237499999999899E-2</v>
      </c>
      <c r="W118">
        <v>1.8790000000000001E-2</v>
      </c>
      <c r="X118" s="2">
        <v>2.2114286483351201E-4</v>
      </c>
      <c r="Y118" s="2">
        <v>2.4008968231815E-4</v>
      </c>
      <c r="Z118" s="2">
        <v>8.0957807940745506E-5</v>
      </c>
      <c r="AA118" s="2">
        <v>1.1881357947068901E-4</v>
      </c>
      <c r="AB118" s="2">
        <v>2.27879719735399E-4</v>
      </c>
      <c r="AC118" s="2">
        <v>2.0373934873299201E-4</v>
      </c>
      <c r="AD118">
        <v>299.20445520650702</v>
      </c>
      <c r="AE118">
        <v>299.21172493999899</v>
      </c>
      <c r="AF118">
        <v>-0.258488977797177</v>
      </c>
      <c r="AG118">
        <v>-0.254972214097689</v>
      </c>
      <c r="AH118" s="7">
        <v>0.51929838437048603</v>
      </c>
      <c r="AI118" s="7">
        <v>0.51741180480599902</v>
      </c>
    </row>
    <row r="119" spans="1:35" x14ac:dyDescent="0.25">
      <c r="A119">
        <v>5</v>
      </c>
      <c r="B119" s="1">
        <v>45471</v>
      </c>
      <c r="C119" s="1">
        <v>45470</v>
      </c>
      <c r="D119" s="3">
        <f t="shared" si="1"/>
        <v>1</v>
      </c>
      <c r="E119" t="s">
        <v>33</v>
      </c>
      <c r="F119" t="s">
        <v>34</v>
      </c>
      <c r="G119">
        <v>41.08</v>
      </c>
      <c r="H119">
        <v>30</v>
      </c>
      <c r="I119" t="s">
        <v>35</v>
      </c>
      <c r="J119">
        <v>1</v>
      </c>
      <c r="K119" s="6">
        <v>16.690000000000001</v>
      </c>
      <c r="L119">
        <v>6.8561702127659498E-3</v>
      </c>
      <c r="M119">
        <v>1.5281897163120501E-2</v>
      </c>
      <c r="N119">
        <v>4.2278723404255199E-3</v>
      </c>
      <c r="O119">
        <v>4.0267907801418302E-3</v>
      </c>
      <c r="P119">
        <v>3.1659042553191402E-3</v>
      </c>
      <c r="Q119">
        <v>3.88909574468083E-3</v>
      </c>
      <c r="R119">
        <v>7.0199999999999898E-3</v>
      </c>
      <c r="S119">
        <v>1.52974999999999E-2</v>
      </c>
      <c r="T119">
        <v>4.3799999999999898E-3</v>
      </c>
      <c r="U119">
        <v>4.0774999999999796E-3</v>
      </c>
      <c r="V119">
        <v>3.1424999999999899E-3</v>
      </c>
      <c r="W119">
        <v>3.9124999999999802E-3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298.81174387617</v>
      </c>
      <c r="AE119">
        <v>298.801562539999</v>
      </c>
      <c r="AF119">
        <v>-2.23677737822175E-2</v>
      </c>
      <c r="AG119">
        <v>-3.5767070647355799E-2</v>
      </c>
      <c r="AH119" s="7">
        <v>0.71319887455206499</v>
      </c>
      <c r="AI119" s="7">
        <v>0.70366624525916599</v>
      </c>
    </row>
    <row r="120" spans="1:35" x14ac:dyDescent="0.25">
      <c r="A120">
        <v>6</v>
      </c>
      <c r="B120" s="1">
        <v>45471</v>
      </c>
      <c r="C120" s="1">
        <v>45470</v>
      </c>
      <c r="D120" s="3">
        <f t="shared" si="1"/>
        <v>1</v>
      </c>
      <c r="E120" t="s">
        <v>33</v>
      </c>
      <c r="F120" t="s">
        <v>34</v>
      </c>
      <c r="G120">
        <v>41.08</v>
      </c>
      <c r="H120">
        <v>30</v>
      </c>
      <c r="I120" t="s">
        <v>35</v>
      </c>
      <c r="J120">
        <v>3</v>
      </c>
      <c r="K120" s="6">
        <v>13.55</v>
      </c>
      <c r="L120">
        <v>1.32287983247422E-2</v>
      </c>
      <c r="M120">
        <v>5.1396246778350502E-2</v>
      </c>
      <c r="N120">
        <v>2.4320086984535999E-2</v>
      </c>
      <c r="O120">
        <v>7.2593846649484503E-3</v>
      </c>
      <c r="P120">
        <v>8.7539529639175193E-3</v>
      </c>
      <c r="Q120">
        <v>8.7523228092783404E-3</v>
      </c>
      <c r="R120">
        <v>1.27674999999999E-2</v>
      </c>
      <c r="S120">
        <v>5.13775E-2</v>
      </c>
      <c r="T120">
        <v>2.4070000000000001E-2</v>
      </c>
      <c r="U120">
        <v>6.6899999999999998E-3</v>
      </c>
      <c r="V120">
        <v>9.3024999999999896E-3</v>
      </c>
      <c r="W120">
        <v>8.9724999999999892E-3</v>
      </c>
      <c r="X120">
        <v>5.9627176177384899E-3</v>
      </c>
      <c r="Y120">
        <v>5.4090479753834703E-3</v>
      </c>
      <c r="Z120">
        <v>5.9164566864147797E-3</v>
      </c>
      <c r="AA120">
        <v>5.80922267223038E-3</v>
      </c>
      <c r="AB120">
        <v>4.6510152714816502E-3</v>
      </c>
      <c r="AC120">
        <v>3.9569645001636703E-3</v>
      </c>
      <c r="AD120">
        <v>299.299901927603</v>
      </c>
      <c r="AE120">
        <v>299.30401147999999</v>
      </c>
      <c r="AF120">
        <v>-0.52025655446192598</v>
      </c>
      <c r="AG120">
        <v>-0.56501950585175498</v>
      </c>
      <c r="AH120" s="7">
        <v>0.72676509955255997</v>
      </c>
      <c r="AI120" s="7">
        <v>0.69339156229400101</v>
      </c>
    </row>
    <row r="121" spans="1:35" x14ac:dyDescent="0.25">
      <c r="A121">
        <v>1</v>
      </c>
      <c r="B121" s="1">
        <v>45491</v>
      </c>
      <c r="C121" s="1">
        <v>45486</v>
      </c>
      <c r="D121" s="3">
        <f t="shared" si="1"/>
        <v>5</v>
      </c>
      <c r="E121" t="s">
        <v>33</v>
      </c>
      <c r="F121" t="s">
        <v>34</v>
      </c>
      <c r="G121">
        <v>20.63</v>
      </c>
      <c r="H121">
        <v>30</v>
      </c>
      <c r="I121" t="s">
        <v>35</v>
      </c>
      <c r="J121">
        <v>3</v>
      </c>
      <c r="K121">
        <v>11.59</v>
      </c>
      <c r="L121">
        <v>1.8294720457433199E-2</v>
      </c>
      <c r="M121">
        <v>5.0172357052096501E-2</v>
      </c>
      <c r="N121">
        <v>2.60796664548919E-2</v>
      </c>
      <c r="O121">
        <v>2.3158132147395101E-2</v>
      </c>
      <c r="P121">
        <v>6.1560736975857597E-3</v>
      </c>
      <c r="Q121">
        <v>4.1911689961880499E-3</v>
      </c>
      <c r="R121">
        <v>1.7607499999999901E-2</v>
      </c>
      <c r="S121">
        <v>4.9314999999999998E-2</v>
      </c>
      <c r="T121">
        <v>2.52524999999999E-2</v>
      </c>
      <c r="U121">
        <v>2.26399999999999E-2</v>
      </c>
      <c r="V121">
        <v>5.9474999999999901E-3</v>
      </c>
      <c r="W121">
        <v>4.1599999999999901E-3</v>
      </c>
      <c r="X121">
        <v>1.1469694367719099E-3</v>
      </c>
      <c r="Y121" s="2">
        <v>8.3240197954803402E-4</v>
      </c>
      <c r="Z121" s="2">
        <v>7.4436494185761302E-4</v>
      </c>
      <c r="AA121" s="2">
        <v>4.6578935391684303E-4</v>
      </c>
      <c r="AB121" s="2">
        <v>2.9304673499101899E-4</v>
      </c>
      <c r="AC121" s="2">
        <v>1.3534421138548201E-4</v>
      </c>
      <c r="AD121">
        <v>303.01843505171502</v>
      </c>
      <c r="AE121">
        <v>302.96812892000003</v>
      </c>
      <c r="AF121">
        <v>-5.9281274732723002E-2</v>
      </c>
      <c r="AG121">
        <v>-6.3711036225779297E-2</v>
      </c>
      <c r="AH121" s="7">
        <v>0.78193529987226096</v>
      </c>
      <c r="AI121" s="7">
        <v>0.78291814946619198</v>
      </c>
    </row>
    <row r="122" spans="1:35" x14ac:dyDescent="0.25">
      <c r="A122">
        <v>2</v>
      </c>
      <c r="B122" s="1">
        <v>45491</v>
      </c>
      <c r="C122" s="1">
        <v>45486</v>
      </c>
      <c r="D122" s="3">
        <f t="shared" si="1"/>
        <v>5</v>
      </c>
      <c r="E122" t="s">
        <v>33</v>
      </c>
      <c r="F122" t="s">
        <v>34</v>
      </c>
      <c r="G122">
        <v>20.63</v>
      </c>
      <c r="H122">
        <v>30</v>
      </c>
      <c r="I122" t="s">
        <v>35</v>
      </c>
      <c r="J122">
        <v>2</v>
      </c>
      <c r="K122">
        <v>9.7799999999999994</v>
      </c>
      <c r="L122">
        <v>6.6562213010203999E-3</v>
      </c>
      <c r="M122">
        <v>4.0852366071428503E-2</v>
      </c>
      <c r="N122">
        <v>1.6638861607142799E-2</v>
      </c>
      <c r="O122">
        <v>1.1775956632653E-2</v>
      </c>
      <c r="P122">
        <v>1.8469834183673401E-3</v>
      </c>
      <c r="Q122">
        <v>2.2793016581632501E-3</v>
      </c>
      <c r="R122">
        <v>6.4424999999999899E-3</v>
      </c>
      <c r="S122">
        <v>4.1449999999999897E-2</v>
      </c>
      <c r="T122">
        <v>1.65349999999999E-2</v>
      </c>
      <c r="U122">
        <v>1.1681250000000001E-2</v>
      </c>
      <c r="V122">
        <v>1.8912499999999899E-3</v>
      </c>
      <c r="W122">
        <v>2.2625000000000002E-3</v>
      </c>
      <c r="X122" s="2">
        <v>4.6750000000001098E-4</v>
      </c>
      <c r="Y122">
        <v>1.20999999999995E-3</v>
      </c>
      <c r="Z122" s="2">
        <v>9.9000000000000693E-4</v>
      </c>
      <c r="AA122" s="2">
        <v>5.7749999999999501E-4</v>
      </c>
      <c r="AB122" s="2">
        <v>1.6499999999999799E-4</v>
      </c>
      <c r="AC122" s="2">
        <v>3.8499999999999602E-4</v>
      </c>
      <c r="AD122">
        <v>303.09522345959101</v>
      </c>
      <c r="AE122">
        <v>303.05528843000002</v>
      </c>
      <c r="AF122">
        <v>-0.17059943064462799</v>
      </c>
      <c r="AG122">
        <v>-0.175095340739512</v>
      </c>
      <c r="AH122" s="7">
        <v>0.91350412905884903</v>
      </c>
      <c r="AI122" s="7">
        <v>0.91398920584863097</v>
      </c>
    </row>
    <row r="123" spans="1:35" x14ac:dyDescent="0.25">
      <c r="A123">
        <v>4</v>
      </c>
      <c r="B123" s="1">
        <v>45491</v>
      </c>
      <c r="C123" s="1">
        <v>45486</v>
      </c>
      <c r="D123" s="3">
        <f t="shared" si="1"/>
        <v>5</v>
      </c>
      <c r="E123" t="s">
        <v>33</v>
      </c>
      <c r="F123" t="s">
        <v>34</v>
      </c>
      <c r="G123">
        <v>20.63</v>
      </c>
      <c r="H123">
        <v>30</v>
      </c>
      <c r="I123" t="s">
        <v>35</v>
      </c>
      <c r="J123">
        <v>3</v>
      </c>
      <c r="K123">
        <v>12.76</v>
      </c>
      <c r="L123">
        <v>1.6423583542713501E-2</v>
      </c>
      <c r="M123">
        <v>4.7684692211055202E-2</v>
      </c>
      <c r="N123">
        <v>2.3342079145728601E-2</v>
      </c>
      <c r="O123">
        <v>1.5085376884422101E-2</v>
      </c>
      <c r="P123">
        <v>3.23304962311557E-3</v>
      </c>
      <c r="Q123">
        <v>2.4975628140703398E-3</v>
      </c>
      <c r="R123">
        <v>1.6424999999999901E-2</v>
      </c>
      <c r="S123">
        <v>4.8050000000000002E-2</v>
      </c>
      <c r="T123">
        <v>2.33549999999999E-2</v>
      </c>
      <c r="U123">
        <v>1.50774999999999E-2</v>
      </c>
      <c r="V123">
        <v>3.2799999999999999E-3</v>
      </c>
      <c r="W123">
        <v>2.3999999999999798E-3</v>
      </c>
      <c r="X123" s="2">
        <v>8.6643185921725103E-4</v>
      </c>
      <c r="Y123" s="2">
        <v>3.48815455824779E-4</v>
      </c>
      <c r="Z123" s="2">
        <v>5.8076458225343004E-4</v>
      </c>
      <c r="AA123" s="2">
        <v>5.8738237593204895E-4</v>
      </c>
      <c r="AB123" s="2">
        <v>2.91897527681659E-4</v>
      </c>
      <c r="AC123" s="2">
        <v>1.95746434620586E-4</v>
      </c>
      <c r="AD123">
        <v>303.45171004608</v>
      </c>
      <c r="AE123">
        <v>303.40563548</v>
      </c>
      <c r="AF123">
        <v>-0.21498391841290301</v>
      </c>
      <c r="AG123">
        <v>-0.21537761009562201</v>
      </c>
      <c r="AH123" s="7">
        <v>0.873255740064807</v>
      </c>
      <c r="AI123" s="7">
        <v>0.87219949347360204</v>
      </c>
    </row>
    <row r="124" spans="1:35" x14ac:dyDescent="0.25">
      <c r="A124">
        <v>5</v>
      </c>
      <c r="B124" s="1">
        <v>45491</v>
      </c>
      <c r="C124" s="1">
        <v>45486</v>
      </c>
      <c r="D124" s="3">
        <f t="shared" si="1"/>
        <v>5</v>
      </c>
      <c r="E124" t="s">
        <v>33</v>
      </c>
      <c r="F124" t="s">
        <v>34</v>
      </c>
      <c r="G124">
        <v>20.63</v>
      </c>
      <c r="H124">
        <v>30</v>
      </c>
      <c r="I124" t="s">
        <v>35</v>
      </c>
      <c r="J124">
        <v>3</v>
      </c>
      <c r="K124">
        <v>14.25</v>
      </c>
      <c r="L124">
        <v>2.26466835443037E-2</v>
      </c>
      <c r="M124">
        <v>4.6852601265822698E-2</v>
      </c>
      <c r="N124">
        <v>2.6070015822784801E-2</v>
      </c>
      <c r="O124">
        <v>1.9822781645569599E-2</v>
      </c>
      <c r="P124">
        <v>4.1165569620253096E-3</v>
      </c>
      <c r="Q124">
        <v>2.4633196202531599E-3</v>
      </c>
      <c r="R124">
        <v>2.2392499999999999E-2</v>
      </c>
      <c r="S124">
        <v>4.6894999999999902E-2</v>
      </c>
      <c r="T124">
        <v>2.5912500000000002E-2</v>
      </c>
      <c r="U124">
        <v>1.9779999999999898E-2</v>
      </c>
      <c r="V124">
        <v>4.1049999999999897E-3</v>
      </c>
      <c r="W124">
        <v>2.3724999999999901E-3</v>
      </c>
      <c r="X124" s="2">
        <v>8.3088640753244797E-4</v>
      </c>
      <c r="Y124" s="2">
        <v>4.3616383262373102E-4</v>
      </c>
      <c r="Z124" s="2">
        <v>7.8971777659279604E-4</v>
      </c>
      <c r="AA124" s="2">
        <v>5.9871737906964896E-4</v>
      </c>
      <c r="AB124" s="2">
        <v>1.91844120750857E-4</v>
      </c>
      <c r="AC124" s="2">
        <v>1.2366509432962201E-4</v>
      </c>
      <c r="AD124">
        <v>304.96572364658198</v>
      </c>
      <c r="AE124">
        <v>304.91981834000001</v>
      </c>
      <c r="AF124">
        <v>-0.136223106955525</v>
      </c>
      <c r="AG124">
        <v>-0.13421239809596699</v>
      </c>
      <c r="AH124" s="7">
        <v>0.83855640543810805</v>
      </c>
      <c r="AI124" s="7">
        <v>0.83910636421537399</v>
      </c>
    </row>
    <row r="125" spans="1:35" x14ac:dyDescent="0.25">
      <c r="A125">
        <v>6</v>
      </c>
      <c r="B125" s="1">
        <v>45491</v>
      </c>
      <c r="C125" s="1">
        <v>45486</v>
      </c>
      <c r="D125" s="3">
        <f t="shared" si="1"/>
        <v>5</v>
      </c>
      <c r="E125" t="s">
        <v>33</v>
      </c>
      <c r="F125" t="s">
        <v>34</v>
      </c>
      <c r="G125">
        <v>20.63</v>
      </c>
      <c r="H125">
        <v>30</v>
      </c>
      <c r="I125" t="s">
        <v>35</v>
      </c>
      <c r="J125">
        <v>3</v>
      </c>
      <c r="K125">
        <v>9.51</v>
      </c>
      <c r="L125">
        <v>1.6959869758576801E-2</v>
      </c>
      <c r="M125">
        <v>4.78934561626429E-2</v>
      </c>
      <c r="N125">
        <v>2.39026238881829E-2</v>
      </c>
      <c r="O125">
        <v>1.5968506988564099E-2</v>
      </c>
      <c r="P125">
        <v>3.6077287166454801E-3</v>
      </c>
      <c r="Q125">
        <v>2.6604288437102799E-3</v>
      </c>
      <c r="R125">
        <v>1.73875E-2</v>
      </c>
      <c r="S125">
        <v>4.7609999999999902E-2</v>
      </c>
      <c r="T125">
        <v>2.3904999999999999E-2</v>
      </c>
      <c r="U125">
        <v>1.6314999999999899E-2</v>
      </c>
      <c r="V125">
        <v>3.7200000000000002E-3</v>
      </c>
      <c r="W125">
        <v>2.5649999999999801E-3</v>
      </c>
      <c r="X125" s="2">
        <v>6.11355506686191E-4</v>
      </c>
      <c r="Y125" s="2">
        <v>3.4298526043987703E-5</v>
      </c>
      <c r="Z125" s="2">
        <v>2.3370506103955499E-4</v>
      </c>
      <c r="AA125" s="2">
        <v>6.7373441025048001E-4</v>
      </c>
      <c r="AB125" s="2">
        <v>3.43719443086291E-4</v>
      </c>
      <c r="AC125" s="2">
        <v>1.9096611101333401E-4</v>
      </c>
      <c r="AD125">
        <v>304.84805729240099</v>
      </c>
      <c r="AE125">
        <v>304.841203879999</v>
      </c>
      <c r="AF125">
        <v>-0.19972294011354499</v>
      </c>
      <c r="AG125">
        <v>-0.19684136789148499</v>
      </c>
      <c r="AH125" s="7">
        <v>0.86007939204014106</v>
      </c>
      <c r="AI125" s="7">
        <v>0.85796563842249096</v>
      </c>
    </row>
    <row r="126" spans="1:35" x14ac:dyDescent="0.25">
      <c r="A126">
        <v>7</v>
      </c>
      <c r="B126" s="1">
        <v>45491</v>
      </c>
      <c r="C126" s="1">
        <v>45486</v>
      </c>
      <c r="D126" s="3">
        <f t="shared" si="1"/>
        <v>5</v>
      </c>
      <c r="E126" t="s">
        <v>33</v>
      </c>
      <c r="F126" t="s">
        <v>34</v>
      </c>
      <c r="G126">
        <v>20.63</v>
      </c>
      <c r="H126">
        <v>30</v>
      </c>
      <c r="I126" t="s">
        <v>35</v>
      </c>
      <c r="J126">
        <v>3</v>
      </c>
      <c r="K126">
        <v>14.14</v>
      </c>
      <c r="L126">
        <v>1.7784117276166401E-2</v>
      </c>
      <c r="M126">
        <v>3.8603420554854898E-2</v>
      </c>
      <c r="N126">
        <v>2.0747285624211801E-2</v>
      </c>
      <c r="O126">
        <v>1.9330914249684701E-2</v>
      </c>
      <c r="P126">
        <v>5.0224180327868798E-3</v>
      </c>
      <c r="Q126">
        <v>3.5429665825977299E-3</v>
      </c>
      <c r="R126">
        <v>1.6727499999999999E-2</v>
      </c>
      <c r="S126">
        <v>3.9112499999999897E-2</v>
      </c>
      <c r="T126">
        <v>1.9972500000000001E-2</v>
      </c>
      <c r="U126">
        <v>1.74425E-2</v>
      </c>
      <c r="V126">
        <v>4.6549999999999899E-3</v>
      </c>
      <c r="W126">
        <v>3.0599999999999998E-3</v>
      </c>
      <c r="X126">
        <v>1.5945257915756701E-3</v>
      </c>
      <c r="Y126">
        <v>1.23127136191287E-3</v>
      </c>
      <c r="Z126">
        <v>1.9801697458102499E-3</v>
      </c>
      <c r="AA126">
        <v>3.0140635638066298E-3</v>
      </c>
      <c r="AB126">
        <v>1.33896104001074E-3</v>
      </c>
      <c r="AC126" s="2">
        <v>8.9936165633681703E-4</v>
      </c>
      <c r="AD126">
        <v>303.50967604337899</v>
      </c>
      <c r="AE126">
        <v>303.50817608</v>
      </c>
      <c r="AF126">
        <v>-3.8999215267456103E-2</v>
      </c>
      <c r="AG126">
        <v>-5.4726368159204203E-2</v>
      </c>
      <c r="AH126" s="7">
        <v>0.77339858015878904</v>
      </c>
      <c r="AI126" s="7">
        <v>0.78728508596561397</v>
      </c>
    </row>
    <row r="127" spans="1:35" x14ac:dyDescent="0.25">
      <c r="A127">
        <v>8</v>
      </c>
      <c r="B127" s="1">
        <v>45491</v>
      </c>
      <c r="C127" s="1">
        <v>45486</v>
      </c>
      <c r="D127" s="3">
        <f t="shared" si="1"/>
        <v>5</v>
      </c>
      <c r="E127" t="s">
        <v>33</v>
      </c>
      <c r="F127" t="s">
        <v>34</v>
      </c>
      <c r="G127">
        <v>20.63</v>
      </c>
      <c r="H127">
        <v>30</v>
      </c>
      <c r="I127" t="s">
        <v>35</v>
      </c>
      <c r="J127">
        <v>3</v>
      </c>
      <c r="K127">
        <v>15.21</v>
      </c>
      <c r="L127">
        <v>2.5979861111111099E-2</v>
      </c>
      <c r="M127">
        <v>4.1283090277777698E-2</v>
      </c>
      <c r="N127">
        <v>2.42515624999999E-2</v>
      </c>
      <c r="O127">
        <v>2.2577256944444402E-2</v>
      </c>
      <c r="P127">
        <v>5.2757638888888802E-3</v>
      </c>
      <c r="Q127">
        <v>3.4459722222222201E-3</v>
      </c>
      <c r="R127">
        <v>2.60499999999999E-2</v>
      </c>
      <c r="S127">
        <v>4.1422500000000001E-2</v>
      </c>
      <c r="T127">
        <v>2.4344999999999999E-2</v>
      </c>
      <c r="U127">
        <v>2.22549999999999E-2</v>
      </c>
      <c r="V127">
        <v>5.1499999999999801E-3</v>
      </c>
      <c r="W127">
        <v>3.3349999999999999E-3</v>
      </c>
      <c r="X127" s="2">
        <v>3.2718708545549597E-4</v>
      </c>
      <c r="Y127" s="2">
        <v>3.70995282988891E-4</v>
      </c>
      <c r="Z127" s="2">
        <v>3.9041822304921101E-4</v>
      </c>
      <c r="AA127" s="2">
        <v>7.1016527810237101E-4</v>
      </c>
      <c r="AB127" s="2">
        <v>7.8854648281244293E-5</v>
      </c>
      <c r="AC127" s="2">
        <v>1.2501666555569E-4</v>
      </c>
      <c r="AD127">
        <v>303.39456575613599</v>
      </c>
      <c r="AE127">
        <v>303.36461924000002</v>
      </c>
      <c r="AF127">
        <v>-3.5963149493570601E-2</v>
      </c>
      <c r="AG127">
        <v>-3.9938387061282499E-2</v>
      </c>
      <c r="AH127" s="7">
        <v>0.773654341650306</v>
      </c>
      <c r="AI127" s="7">
        <v>0.77699594046008102</v>
      </c>
    </row>
    <row r="128" spans="1:35" x14ac:dyDescent="0.25">
      <c r="A128">
        <v>9</v>
      </c>
      <c r="B128" s="1">
        <v>45491</v>
      </c>
      <c r="C128" s="1">
        <v>45486</v>
      </c>
      <c r="D128" s="3">
        <f t="shared" si="1"/>
        <v>5</v>
      </c>
      <c r="E128" t="s">
        <v>33</v>
      </c>
      <c r="F128" t="s">
        <v>34</v>
      </c>
      <c r="G128">
        <v>20.63</v>
      </c>
      <c r="H128">
        <v>30</v>
      </c>
      <c r="I128" t="s">
        <v>35</v>
      </c>
      <c r="J128">
        <v>2</v>
      </c>
      <c r="K128">
        <v>13.7</v>
      </c>
      <c r="L128">
        <v>2.9067078045685198E-2</v>
      </c>
      <c r="M128">
        <v>4.4302461928934E-2</v>
      </c>
      <c r="N128">
        <v>2.6991037436548199E-2</v>
      </c>
      <c r="O128">
        <v>2.2612814086294401E-2</v>
      </c>
      <c r="P128">
        <v>4.56565989847715E-3</v>
      </c>
      <c r="Q128">
        <v>2.5034041878172499E-3</v>
      </c>
      <c r="R128">
        <v>2.90199999999999E-2</v>
      </c>
      <c r="S128">
        <v>4.45025E-2</v>
      </c>
      <c r="T128">
        <v>2.7232499999999899E-2</v>
      </c>
      <c r="U128">
        <v>2.2612500000000001E-2</v>
      </c>
      <c r="V128">
        <v>4.4899999999999897E-3</v>
      </c>
      <c r="W128">
        <v>2.4549999999999802E-3</v>
      </c>
      <c r="X128" s="2">
        <v>1.51250000000049E-4</v>
      </c>
      <c r="Y128" s="2">
        <v>2.7500000002224699E-5</v>
      </c>
      <c r="Z128">
        <v>0</v>
      </c>
      <c r="AA128" s="2">
        <v>9.6250000000464603E-5</v>
      </c>
      <c r="AB128" s="2">
        <v>8.2500000000000596E-5</v>
      </c>
      <c r="AC128" s="2">
        <v>2.7500000000007001E-5</v>
      </c>
      <c r="AD128">
        <v>303.54793875682702</v>
      </c>
      <c r="AE128">
        <v>303.54235627999998</v>
      </c>
      <c r="AF128">
        <v>-8.8240961431624507E-2</v>
      </c>
      <c r="AG128">
        <v>-9.2687330725247902E-2</v>
      </c>
      <c r="AH128" s="7">
        <v>0.81317864161998499</v>
      </c>
      <c r="AI128" s="7">
        <v>0.81670663877123995</v>
      </c>
    </row>
    <row r="129" spans="1:35" x14ac:dyDescent="0.25">
      <c r="A129">
        <v>10</v>
      </c>
      <c r="B129" s="1">
        <v>45511</v>
      </c>
      <c r="C129" s="1">
        <v>45510</v>
      </c>
      <c r="D129" s="3">
        <f t="shared" si="1"/>
        <v>1</v>
      </c>
      <c r="E129" t="s">
        <v>36</v>
      </c>
      <c r="F129" t="s">
        <v>34</v>
      </c>
      <c r="G129">
        <v>46.62</v>
      </c>
      <c r="H129">
        <v>30</v>
      </c>
      <c r="I129" t="s">
        <v>35</v>
      </c>
      <c r="J129">
        <v>3</v>
      </c>
      <c r="K129">
        <v>18.46</v>
      </c>
      <c r="L129">
        <v>-1.5990112467866299E-2</v>
      </c>
      <c r="M129">
        <v>3.3242345758354698E-2</v>
      </c>
      <c r="N129">
        <v>4.8023971722365002E-3</v>
      </c>
      <c r="O129">
        <v>2.3401339974293001E-2</v>
      </c>
      <c r="P129">
        <v>1.26026413881747E-2</v>
      </c>
      <c r="Q129">
        <v>1.06553727506426E-2</v>
      </c>
      <c r="R129">
        <v>-1.9050000000000001E-2</v>
      </c>
      <c r="S129">
        <v>3.2484999999999903E-2</v>
      </c>
      <c r="T129">
        <v>4.2699999999999899E-3</v>
      </c>
      <c r="U129">
        <v>2.29699999999999E-2</v>
      </c>
      <c r="V129">
        <v>1.2712499999999899E-2</v>
      </c>
      <c r="W129">
        <v>1.07599999999999E-2</v>
      </c>
      <c r="X129">
        <v>3.4567207083528598E-3</v>
      </c>
      <c r="Y129">
        <v>1.10396507593714E-3</v>
      </c>
      <c r="Z129">
        <v>1.6952634177482601E-3</v>
      </c>
      <c r="AA129" s="2">
        <v>7.4953967354788199E-4</v>
      </c>
      <c r="AB129" s="2">
        <v>1.95746434620578E-4</v>
      </c>
      <c r="AC129" s="2">
        <v>1.7536865930568399E-4</v>
      </c>
      <c r="AD129">
        <v>302.53012591236501</v>
      </c>
      <c r="AE129">
        <v>302.52720434000003</v>
      </c>
      <c r="AF129">
        <v>0.68241530201620104</v>
      </c>
      <c r="AG129">
        <v>0.68649045521292196</v>
      </c>
      <c r="AH129" s="7">
        <v>0.44960760057744698</v>
      </c>
      <c r="AI129" s="7">
        <v>0.43746888655346</v>
      </c>
    </row>
    <row r="130" spans="1:35" x14ac:dyDescent="0.25">
      <c r="A130">
        <v>1</v>
      </c>
      <c r="B130" s="1">
        <v>45534</v>
      </c>
      <c r="C130" s="1">
        <v>45534</v>
      </c>
      <c r="D130" s="3">
        <f t="shared" si="1"/>
        <v>0</v>
      </c>
      <c r="E130" t="s">
        <v>33</v>
      </c>
      <c r="F130" t="s">
        <v>34</v>
      </c>
      <c r="G130">
        <v>3.9</v>
      </c>
      <c r="H130">
        <v>30</v>
      </c>
      <c r="I130" t="s">
        <v>35</v>
      </c>
      <c r="J130">
        <v>3</v>
      </c>
      <c r="K130">
        <v>14.9</v>
      </c>
      <c r="L130">
        <v>6.9262833545107897E-3</v>
      </c>
      <c r="M130">
        <v>3.6503214739517099E-2</v>
      </c>
      <c r="N130">
        <v>1.73904351969504E-2</v>
      </c>
      <c r="O130">
        <v>1.6762897077509501E-2</v>
      </c>
      <c r="P130">
        <v>6.3402223634053297E-3</v>
      </c>
      <c r="Q130">
        <v>3.9491550190597097E-3</v>
      </c>
      <c r="R130">
        <v>6.8824999999999798E-3</v>
      </c>
      <c r="S130">
        <v>3.6197499999999903E-2</v>
      </c>
      <c r="T130">
        <v>1.7029999999999899E-2</v>
      </c>
      <c r="U130">
        <v>1.66175E-2</v>
      </c>
      <c r="V130">
        <v>6.2774999999999897E-3</v>
      </c>
      <c r="W130">
        <v>3.9399999999999904E-3</v>
      </c>
      <c r="X130" s="2">
        <v>6.6393502861516595E-4</v>
      </c>
      <c r="Y130" s="2">
        <v>3.95549898523681E-4</v>
      </c>
      <c r="Z130" s="2">
        <v>5.25146804871413E-4</v>
      </c>
      <c r="AA130" s="2">
        <v>7.0755741816475601E-4</v>
      </c>
      <c r="AB130" s="2">
        <v>2.36563944843675E-4</v>
      </c>
      <c r="AC130" s="2">
        <v>5.94067897354206E-5</v>
      </c>
      <c r="AD130">
        <v>300.46694175356998</v>
      </c>
      <c r="AE130">
        <v>300.37726975999999</v>
      </c>
      <c r="AF130">
        <v>-1.84436486048393E-2</v>
      </c>
      <c r="AG130">
        <v>-1.6968167157481999E-2</v>
      </c>
      <c r="AH130" s="7">
        <v>0.70412462219896499</v>
      </c>
      <c r="AI130" s="7">
        <v>0.70268190160440502</v>
      </c>
    </row>
    <row r="131" spans="1:35" x14ac:dyDescent="0.25">
      <c r="A131">
        <v>2</v>
      </c>
      <c r="B131" s="1">
        <v>45534</v>
      </c>
      <c r="C131" s="1">
        <v>45534</v>
      </c>
      <c r="D131" s="3">
        <f t="shared" ref="D131:D149" si="2">B131-C131</f>
        <v>0</v>
      </c>
      <c r="E131" t="s">
        <v>33</v>
      </c>
      <c r="F131" t="s">
        <v>34</v>
      </c>
      <c r="G131">
        <v>3.9</v>
      </c>
      <c r="H131">
        <v>30</v>
      </c>
      <c r="I131" t="s">
        <v>35</v>
      </c>
      <c r="J131">
        <v>2</v>
      </c>
      <c r="K131">
        <v>17.2</v>
      </c>
      <c r="L131">
        <v>8.2504496173469392E-3</v>
      </c>
      <c r="M131">
        <v>3.9825325255101997E-2</v>
      </c>
      <c r="N131">
        <v>2.04497512755102E-2</v>
      </c>
      <c r="O131">
        <v>1.7943147321428501E-2</v>
      </c>
      <c r="P131">
        <v>6.0358577806122402E-3</v>
      </c>
      <c r="Q131">
        <v>3.45538265306122E-3</v>
      </c>
      <c r="R131">
        <v>8.2024999999999997E-3</v>
      </c>
      <c r="S131">
        <v>3.9772499999999898E-2</v>
      </c>
      <c r="T131">
        <v>2.0494999999999899E-2</v>
      </c>
      <c r="U131">
        <v>1.81299999999999E-2</v>
      </c>
      <c r="V131">
        <v>6.1124999999999903E-3</v>
      </c>
      <c r="W131">
        <v>3.41749999999999E-3</v>
      </c>
      <c r="X131" s="2">
        <v>4.2625000000000101E-4</v>
      </c>
      <c r="Y131" s="2">
        <v>1.10000000001013E-4</v>
      </c>
      <c r="Z131" s="2">
        <v>2.4750000000008999E-4</v>
      </c>
      <c r="AA131" s="2">
        <v>3.8499999999995699E-4</v>
      </c>
      <c r="AB131" s="2">
        <v>1.2374999999999E-4</v>
      </c>
      <c r="AC131" s="2">
        <v>4.1249999999989998E-5</v>
      </c>
      <c r="AD131">
        <v>300.57415904726997</v>
      </c>
      <c r="AE131">
        <v>300.55158877999997</v>
      </c>
      <c r="AF131">
        <v>-6.5348493203628302E-2</v>
      </c>
      <c r="AG131">
        <v>-6.4335576378844503E-2</v>
      </c>
      <c r="AH131" s="7">
        <v>0.73682845643176298</v>
      </c>
      <c r="AI131" s="7">
        <v>0.73357306309251402</v>
      </c>
    </row>
    <row r="132" spans="1:35" x14ac:dyDescent="0.25">
      <c r="A132">
        <v>4</v>
      </c>
      <c r="B132" s="1">
        <v>45534</v>
      </c>
      <c r="C132" s="1">
        <v>45534</v>
      </c>
      <c r="D132" s="3">
        <f t="shared" si="2"/>
        <v>0</v>
      </c>
      <c r="E132" t="s">
        <v>33</v>
      </c>
      <c r="F132" t="s">
        <v>34</v>
      </c>
      <c r="G132">
        <v>3.9</v>
      </c>
      <c r="H132">
        <v>30</v>
      </c>
      <c r="I132" t="s">
        <v>35</v>
      </c>
      <c r="J132">
        <v>3</v>
      </c>
      <c r="K132">
        <v>11.62</v>
      </c>
      <c r="L132">
        <v>9.1840703517587895E-3</v>
      </c>
      <c r="M132">
        <v>3.6269082914572801E-2</v>
      </c>
      <c r="N132">
        <v>1.8243834798994898E-2</v>
      </c>
      <c r="O132">
        <v>1.6673363693467301E-2</v>
      </c>
      <c r="P132">
        <v>5.4229962311557597E-3</v>
      </c>
      <c r="Q132">
        <v>3.1362123115577802E-3</v>
      </c>
      <c r="R132">
        <v>9.2200000000000008E-3</v>
      </c>
      <c r="S132">
        <v>3.6225E-2</v>
      </c>
      <c r="T132">
        <v>1.8350000000000002E-2</v>
      </c>
      <c r="U132">
        <v>1.6699999999999899E-2</v>
      </c>
      <c r="V132">
        <v>5.3699999999999798E-3</v>
      </c>
      <c r="W132">
        <v>3.1424999999999899E-3</v>
      </c>
      <c r="X132" s="2">
        <v>7.2178405511856E-5</v>
      </c>
      <c r="Y132" s="2">
        <v>2.1575770875893101E-4</v>
      </c>
      <c r="Z132" s="2">
        <v>1.59299682638964E-4</v>
      </c>
      <c r="AA132" s="2">
        <v>1.3534421138547401E-4</v>
      </c>
      <c r="AB132" s="2">
        <v>1.18813579470822E-4</v>
      </c>
      <c r="AC132" s="2">
        <v>1.5717559182858E-4</v>
      </c>
      <c r="AD132">
        <v>300.13604600429602</v>
      </c>
      <c r="AE132">
        <v>300.14484440000001</v>
      </c>
      <c r="AF132">
        <v>-4.5022207446213297E-2</v>
      </c>
      <c r="AG132">
        <v>-4.2103770910121498E-2</v>
      </c>
      <c r="AH132" s="7">
        <v>0.739858552621802</v>
      </c>
      <c r="AI132" s="7">
        <v>0.74076755973931996</v>
      </c>
    </row>
    <row r="133" spans="1:35" x14ac:dyDescent="0.25">
      <c r="A133">
        <v>5</v>
      </c>
      <c r="B133" s="1">
        <v>45534</v>
      </c>
      <c r="C133" s="1">
        <v>45534</v>
      </c>
      <c r="D133" s="3">
        <f t="shared" si="2"/>
        <v>0</v>
      </c>
      <c r="E133" t="s">
        <v>33</v>
      </c>
      <c r="F133" t="s">
        <v>34</v>
      </c>
      <c r="G133">
        <v>3.9</v>
      </c>
      <c r="H133">
        <v>30</v>
      </c>
      <c r="I133" t="s">
        <v>35</v>
      </c>
      <c r="J133">
        <v>3</v>
      </c>
      <c r="K133">
        <v>12.31</v>
      </c>
      <c r="L133">
        <v>1.5852094936708801E-2</v>
      </c>
      <c r="M133">
        <v>3.7657575949367E-2</v>
      </c>
      <c r="N133">
        <v>2.1148212025316401E-2</v>
      </c>
      <c r="O133">
        <v>1.8283617088607498E-2</v>
      </c>
      <c r="P133">
        <v>5.8057879746835498E-3</v>
      </c>
      <c r="Q133">
        <v>3.2533006329113802E-3</v>
      </c>
      <c r="R133">
        <v>1.5627499999999898E-2</v>
      </c>
      <c r="S133">
        <v>3.7627500000000001E-2</v>
      </c>
      <c r="T133">
        <v>2.1045000000000001E-2</v>
      </c>
      <c r="U133">
        <v>1.8239999999999999E-2</v>
      </c>
      <c r="V133">
        <v>5.8650000000000004E-3</v>
      </c>
      <c r="W133">
        <v>3.1974999999999898E-3</v>
      </c>
      <c r="X133" s="2">
        <v>3.7392809766347002E-4</v>
      </c>
      <c r="Y133" s="2">
        <v>3.48574477933576E-4</v>
      </c>
      <c r="Z133" s="2">
        <v>2.40089682317999E-4</v>
      </c>
      <c r="AA133" s="2">
        <v>4.2146734419429901E-4</v>
      </c>
      <c r="AB133" s="2">
        <v>1.82874425646547E-4</v>
      </c>
      <c r="AC133" s="2">
        <v>2.2453655975568501E-5</v>
      </c>
      <c r="AD133">
        <v>301.02279095994902</v>
      </c>
      <c r="AE133">
        <v>301.00276742</v>
      </c>
      <c r="AF133">
        <v>-7.2693269777047501E-2</v>
      </c>
      <c r="AG133">
        <v>-7.2939690558888201E-2</v>
      </c>
      <c r="AH133" s="7">
        <v>0.73288836116974798</v>
      </c>
      <c r="AI133" s="7">
        <v>0.73029832729780897</v>
      </c>
    </row>
    <row r="134" spans="1:35" x14ac:dyDescent="0.25">
      <c r="A134">
        <v>6</v>
      </c>
      <c r="B134" s="1">
        <v>45534</v>
      </c>
      <c r="C134" s="1">
        <v>45534</v>
      </c>
      <c r="D134" s="3">
        <f t="shared" si="2"/>
        <v>0</v>
      </c>
      <c r="E134" t="s">
        <v>33</v>
      </c>
      <c r="F134" t="s">
        <v>34</v>
      </c>
      <c r="G134">
        <v>3.9</v>
      </c>
      <c r="H134">
        <v>30</v>
      </c>
      <c r="I134" t="s">
        <v>35</v>
      </c>
      <c r="J134">
        <v>3</v>
      </c>
      <c r="K134">
        <v>19.77</v>
      </c>
      <c r="L134">
        <v>1.27806035578144E-2</v>
      </c>
      <c r="M134">
        <v>3.7586547013977102E-2</v>
      </c>
      <c r="N134">
        <v>2.0331747141041901E-2</v>
      </c>
      <c r="O134">
        <v>1.9395628970775E-2</v>
      </c>
      <c r="P134">
        <v>6.5049078780177799E-3</v>
      </c>
      <c r="Q134">
        <v>3.85830368487927E-3</v>
      </c>
      <c r="R134">
        <v>1.2877499999999899E-2</v>
      </c>
      <c r="S134">
        <v>3.7572500000000002E-2</v>
      </c>
      <c r="T134">
        <v>2.0274999999999901E-2</v>
      </c>
      <c r="U134">
        <v>1.9532500000000001E-2</v>
      </c>
      <c r="V134">
        <v>6.5799999999999999E-3</v>
      </c>
      <c r="W134">
        <v>3.8024999999999799E-3</v>
      </c>
      <c r="X134" s="2">
        <v>3.1674779662481102E-4</v>
      </c>
      <c r="Y134" s="2">
        <v>2.4834731504235901E-4</v>
      </c>
      <c r="Z134" s="2">
        <v>1.4609262662961201E-4</v>
      </c>
      <c r="AA134" s="2">
        <v>2.0208290377968601E-4</v>
      </c>
      <c r="AB134" s="2">
        <v>1.40223036623773E-4</v>
      </c>
      <c r="AC134" s="2">
        <v>7.7781745930525606E-5</v>
      </c>
      <c r="AD134">
        <v>300.54607304251499</v>
      </c>
      <c r="AE134">
        <v>300.56867887999999</v>
      </c>
      <c r="AF134">
        <v>-2.35707315605042E-2</v>
      </c>
      <c r="AG134">
        <v>-2.1790268664107701E-2</v>
      </c>
      <c r="AH134" s="7">
        <v>0.70496405277041696</v>
      </c>
      <c r="AI134" s="7">
        <v>0.70118293434994705</v>
      </c>
    </row>
    <row r="135" spans="1:35" x14ac:dyDescent="0.25">
      <c r="A135">
        <v>7</v>
      </c>
      <c r="B135" s="1">
        <v>45534</v>
      </c>
      <c r="C135" s="1">
        <v>45534</v>
      </c>
      <c r="D135" s="3">
        <f t="shared" si="2"/>
        <v>0</v>
      </c>
      <c r="E135" t="s">
        <v>33</v>
      </c>
      <c r="F135" t="s">
        <v>34</v>
      </c>
      <c r="G135">
        <v>3.9</v>
      </c>
      <c r="H135">
        <v>30</v>
      </c>
      <c r="I135" t="s">
        <v>35</v>
      </c>
      <c r="J135">
        <v>3</v>
      </c>
      <c r="K135">
        <v>14.12</v>
      </c>
      <c r="L135">
        <v>1.55250252206809E-2</v>
      </c>
      <c r="M135">
        <v>3.8751428121059202E-2</v>
      </c>
      <c r="N135">
        <v>2.2304000630517001E-2</v>
      </c>
      <c r="O135">
        <v>2.1169426229508102E-2</v>
      </c>
      <c r="P135">
        <v>7.2241519546027604E-3</v>
      </c>
      <c r="Q135">
        <v>4.0174369482976003E-3</v>
      </c>
      <c r="R135">
        <v>1.65349999999999E-2</v>
      </c>
      <c r="S135">
        <v>3.9469999999999998E-2</v>
      </c>
      <c r="T135">
        <v>2.3822499999999899E-2</v>
      </c>
      <c r="U135">
        <v>2.2694999999999899E-2</v>
      </c>
      <c r="V135">
        <v>8.2849999999999799E-3</v>
      </c>
      <c r="W135">
        <v>4.5999999999999904E-3</v>
      </c>
      <c r="X135">
        <v>1.5509284853489E-3</v>
      </c>
      <c r="Y135">
        <v>1.79671343476541E-3</v>
      </c>
      <c r="Z135">
        <v>1.90952910134643E-3</v>
      </c>
      <c r="AA135">
        <v>1.9058291429774499E-3</v>
      </c>
      <c r="AB135">
        <v>1.19603047155532E-3</v>
      </c>
      <c r="AC135" s="2">
        <v>7.3892658633994003E-4</v>
      </c>
      <c r="AD135">
        <v>300.43220376365701</v>
      </c>
      <c r="AE135">
        <v>300.43879412000001</v>
      </c>
      <c r="AF135">
        <v>-2.6595548326512199E-2</v>
      </c>
      <c r="AG135">
        <v>-3.0714557684985801E-2</v>
      </c>
      <c r="AH135" s="7">
        <v>0.68767502578805895</v>
      </c>
      <c r="AI135" s="7">
        <v>0.66154305327563101</v>
      </c>
    </row>
    <row r="136" spans="1:35" x14ac:dyDescent="0.25">
      <c r="A136">
        <v>8</v>
      </c>
      <c r="B136" s="1">
        <v>45534</v>
      </c>
      <c r="C136" s="1">
        <v>45534</v>
      </c>
      <c r="D136" s="3">
        <f t="shared" si="2"/>
        <v>0</v>
      </c>
      <c r="E136" t="s">
        <v>33</v>
      </c>
      <c r="F136" t="s">
        <v>34</v>
      </c>
      <c r="G136">
        <v>3.9</v>
      </c>
      <c r="H136">
        <v>30</v>
      </c>
      <c r="I136" t="s">
        <v>35</v>
      </c>
      <c r="J136">
        <v>3</v>
      </c>
      <c r="K136">
        <v>17.21</v>
      </c>
      <c r="L136">
        <v>2.0163298611111099E-2</v>
      </c>
      <c r="M136">
        <v>4.0869930555555503E-2</v>
      </c>
      <c r="N136">
        <v>2.50784027777777E-2</v>
      </c>
      <c r="O136">
        <v>2.4085763888888799E-2</v>
      </c>
      <c r="P136">
        <v>8.6782638888888795E-3</v>
      </c>
      <c r="Q136">
        <v>5.1988194444444399E-3</v>
      </c>
      <c r="R136">
        <v>2.00825E-2</v>
      </c>
      <c r="S136">
        <v>4.0789999999999903E-2</v>
      </c>
      <c r="T136">
        <v>2.5087499999999902E-2</v>
      </c>
      <c r="U136">
        <v>2.4317499999999902E-2</v>
      </c>
      <c r="V136">
        <v>8.8350000000000095E-3</v>
      </c>
      <c r="W136">
        <v>5.3425E-3</v>
      </c>
      <c r="X136" s="2">
        <v>5.3904364902629799E-4</v>
      </c>
      <c r="Y136" s="2">
        <v>3.2253122157234801E-4</v>
      </c>
      <c r="Z136" s="2">
        <v>2.6024294205402099E-4</v>
      </c>
      <c r="AA136" s="2">
        <v>6.24006988920954E-4</v>
      </c>
      <c r="AB136" s="2">
        <v>4.2504084771021101E-4</v>
      </c>
      <c r="AC136" s="2">
        <v>3.50737318611331E-4</v>
      </c>
      <c r="AD136">
        <v>300.34819932727203</v>
      </c>
      <c r="AE136">
        <v>300.34992560000001</v>
      </c>
      <c r="AF136">
        <v>-2.0328193791753501E-2</v>
      </c>
      <c r="AG136">
        <v>-1.55854670579899E-2</v>
      </c>
      <c r="AH136" s="7">
        <v>0.64983124603738296</v>
      </c>
      <c r="AI136" s="7">
        <v>0.64821819629703303</v>
      </c>
    </row>
    <row r="137" spans="1:35" x14ac:dyDescent="0.25">
      <c r="A137">
        <v>9</v>
      </c>
      <c r="B137" s="1">
        <v>45534</v>
      </c>
      <c r="C137" s="1">
        <v>45534</v>
      </c>
      <c r="D137" s="3">
        <f t="shared" si="2"/>
        <v>0</v>
      </c>
      <c r="E137" t="s">
        <v>33</v>
      </c>
      <c r="F137" t="s">
        <v>34</v>
      </c>
      <c r="G137">
        <v>3.9</v>
      </c>
      <c r="H137">
        <v>30</v>
      </c>
      <c r="I137" t="s">
        <v>35</v>
      </c>
      <c r="J137">
        <v>2</v>
      </c>
      <c r="K137">
        <v>20.21</v>
      </c>
      <c r="L137">
        <v>1.99916243654822E-2</v>
      </c>
      <c r="M137">
        <v>3.5064206852791803E-2</v>
      </c>
      <c r="N137">
        <v>2.1152208121827401E-2</v>
      </c>
      <c r="O137">
        <v>2.07065545685279E-2</v>
      </c>
      <c r="P137">
        <v>6.2698921319796902E-3</v>
      </c>
      <c r="Q137">
        <v>3.58836294416243E-3</v>
      </c>
      <c r="R137">
        <v>1.9889999999999901E-2</v>
      </c>
      <c r="S137">
        <v>3.5152500000000003E-2</v>
      </c>
      <c r="T137">
        <v>2.1155E-2</v>
      </c>
      <c r="U137">
        <v>2.07012499999999E-2</v>
      </c>
      <c r="V137">
        <v>6.2774999999999897E-3</v>
      </c>
      <c r="W137">
        <v>3.6374999999999802E-3</v>
      </c>
      <c r="X137" s="2">
        <v>2.3375000000000899E-4</v>
      </c>
      <c r="Y137" s="2">
        <v>5.50000000005069E-5</v>
      </c>
      <c r="Z137" s="2">
        <v>1.51250000000049E-4</v>
      </c>
      <c r="AA137" s="2">
        <v>1.3749999999141001E-5</v>
      </c>
      <c r="AB137" s="2">
        <v>5.4999999999952399E-5</v>
      </c>
      <c r="AC137" s="2">
        <v>1.37500000000035E-5</v>
      </c>
      <c r="AD137">
        <v>300.79624180291802</v>
      </c>
      <c r="AE137">
        <v>300.83528444000001</v>
      </c>
      <c r="AF137">
        <v>-1.0625872137694401E-2</v>
      </c>
      <c r="AG137">
        <v>-1.05087174588016E-2</v>
      </c>
      <c r="AH137" s="7">
        <v>0.69664862977008102</v>
      </c>
      <c r="AI137" s="7">
        <v>0.69695872556118699</v>
      </c>
    </row>
    <row r="138" spans="1:35" x14ac:dyDescent="0.25">
      <c r="A138">
        <v>10</v>
      </c>
      <c r="B138" s="1">
        <v>45534</v>
      </c>
      <c r="C138" s="1">
        <v>45534</v>
      </c>
      <c r="D138" s="3">
        <f t="shared" si="2"/>
        <v>0</v>
      </c>
      <c r="E138" t="s">
        <v>33</v>
      </c>
      <c r="F138" t="s">
        <v>34</v>
      </c>
      <c r="G138">
        <v>3.9</v>
      </c>
      <c r="H138">
        <v>30</v>
      </c>
      <c r="I138" t="s">
        <v>35</v>
      </c>
      <c r="J138">
        <v>3</v>
      </c>
      <c r="K138">
        <v>19.02</v>
      </c>
      <c r="L138">
        <v>1.32206137532133E-2</v>
      </c>
      <c r="M138">
        <v>3.2979505141388102E-2</v>
      </c>
      <c r="N138">
        <v>2.0763602185089901E-2</v>
      </c>
      <c r="O138">
        <v>2.4041404241645199E-2</v>
      </c>
      <c r="P138">
        <v>8.8132262210796793E-3</v>
      </c>
      <c r="Q138">
        <v>5.0309158097686301E-3</v>
      </c>
      <c r="R138">
        <v>1.2712499999999899E-2</v>
      </c>
      <c r="S138">
        <v>3.2952499999999899E-2</v>
      </c>
      <c r="T138">
        <v>2.0604999999999901E-2</v>
      </c>
      <c r="U138">
        <v>2.3959999999999999E-2</v>
      </c>
      <c r="V138">
        <v>8.8074999999999907E-3</v>
      </c>
      <c r="W138">
        <v>5.0949999999999798E-3</v>
      </c>
      <c r="X138" s="2">
        <v>3.5949231177065101E-4</v>
      </c>
      <c r="Y138" s="2">
        <v>3.3780130583255702E-4</v>
      </c>
      <c r="Z138" s="2">
        <v>2.3044642664955001E-4</v>
      </c>
      <c r="AA138" s="2">
        <v>1.42599867539165E-4</v>
      </c>
      <c r="AB138" s="2">
        <v>1.4022303662380501E-4</v>
      </c>
      <c r="AC138" s="2">
        <v>1.3534421138549E-4</v>
      </c>
      <c r="AD138">
        <v>301.06888282228698</v>
      </c>
      <c r="AE138">
        <v>301.050619699999</v>
      </c>
      <c r="AF138">
        <v>7.3183570776670703E-2</v>
      </c>
      <c r="AG138">
        <v>7.5283294064849599E-2</v>
      </c>
      <c r="AH138" s="7">
        <v>0.57806267200860695</v>
      </c>
      <c r="AI138" s="7">
        <v>0.57388516467502204</v>
      </c>
    </row>
    <row r="139" spans="1:35" x14ac:dyDescent="0.25">
      <c r="A139">
        <v>11</v>
      </c>
      <c r="B139" s="1">
        <v>45534</v>
      </c>
      <c r="C139" s="1">
        <v>45534</v>
      </c>
      <c r="D139" s="3">
        <f t="shared" si="2"/>
        <v>0</v>
      </c>
      <c r="E139" t="s">
        <v>33</v>
      </c>
      <c r="F139" t="s">
        <v>34</v>
      </c>
      <c r="G139">
        <v>3.9</v>
      </c>
      <c r="H139">
        <v>30</v>
      </c>
      <c r="I139" t="s">
        <v>35</v>
      </c>
      <c r="J139">
        <v>2</v>
      </c>
      <c r="K139">
        <v>27.29</v>
      </c>
      <c r="L139">
        <v>2.0449540816326502E-2</v>
      </c>
      <c r="M139">
        <v>3.6792713647959101E-2</v>
      </c>
      <c r="N139">
        <v>2.59540656887755E-2</v>
      </c>
      <c r="O139">
        <v>2.8592732780612199E-2</v>
      </c>
      <c r="P139">
        <v>1.09626371173469E-2</v>
      </c>
      <c r="Q139">
        <v>6.2023309948979503E-3</v>
      </c>
      <c r="R139">
        <v>2.0247500000000002E-2</v>
      </c>
      <c r="S139">
        <v>3.65824999999999E-2</v>
      </c>
      <c r="T139">
        <v>2.57475E-2</v>
      </c>
      <c r="U139">
        <v>2.8607500000000001E-2</v>
      </c>
      <c r="V139">
        <v>1.09799999999999E-2</v>
      </c>
      <c r="W139">
        <v>6.195E-3</v>
      </c>
      <c r="X139" s="2">
        <v>4.12500000000056E-4</v>
      </c>
      <c r="Y139" s="2">
        <v>4.2624999999988999E-4</v>
      </c>
      <c r="Z139" s="2">
        <v>3.16250000000043E-4</v>
      </c>
      <c r="AA139" s="2">
        <v>4.8125000000007E-4</v>
      </c>
      <c r="AB139" s="2">
        <v>1.9249999999997801E-4</v>
      </c>
      <c r="AC139" s="2">
        <v>1.78749999999998E-4</v>
      </c>
      <c r="AD139">
        <v>301.61132321045898</v>
      </c>
      <c r="AE139">
        <v>301.47445418000001</v>
      </c>
      <c r="AF139">
        <v>4.83617558116783E-2</v>
      </c>
      <c r="AG139">
        <v>4.9069526427252097E-2</v>
      </c>
      <c r="AH139" s="7">
        <v>0.54099933681277701</v>
      </c>
      <c r="AI139" s="7">
        <v>0.54461091813987195</v>
      </c>
    </row>
    <row r="140" spans="1:35" x14ac:dyDescent="0.25">
      <c r="A140">
        <v>2</v>
      </c>
      <c r="B140" s="1">
        <v>45569</v>
      </c>
      <c r="C140" s="1">
        <v>45574</v>
      </c>
      <c r="D140" s="3">
        <f t="shared" si="2"/>
        <v>-5</v>
      </c>
      <c r="E140" t="s">
        <v>36</v>
      </c>
      <c r="F140" t="s">
        <v>34</v>
      </c>
      <c r="G140">
        <v>8.66</v>
      </c>
      <c r="H140">
        <v>30</v>
      </c>
      <c r="I140" t="s">
        <v>35</v>
      </c>
      <c r="J140">
        <v>2</v>
      </c>
      <c r="K140">
        <v>7.0936300000000001</v>
      </c>
      <c r="L140">
        <v>6.2702742346938704E-3</v>
      </c>
      <c r="M140">
        <v>1.6981173469387701E-2</v>
      </c>
      <c r="N140">
        <v>1.1375417729591801E-2</v>
      </c>
      <c r="O140">
        <v>6.2762372448979496E-3</v>
      </c>
      <c r="P140">
        <v>3.1494451530612198E-3</v>
      </c>
      <c r="Q140">
        <v>2.1082684948979498E-3</v>
      </c>
      <c r="R140">
        <v>6.1399999999999996E-3</v>
      </c>
      <c r="S140">
        <v>1.6864999999999901E-2</v>
      </c>
      <c r="T140">
        <v>1.1419999999999901E-2</v>
      </c>
      <c r="U140">
        <v>6.33249999999999E-3</v>
      </c>
      <c r="V140">
        <v>3.1149999999999902E-3</v>
      </c>
      <c r="W140">
        <v>2.1387499999999901E-3</v>
      </c>
      <c r="X140" s="2">
        <v>2.0624999999997799E-4</v>
      </c>
      <c r="Y140" s="2">
        <v>1.9250000000008399E-4</v>
      </c>
      <c r="Z140" s="2">
        <v>1.3749999999998499E-4</v>
      </c>
      <c r="AA140" s="2">
        <v>1.78749999999998E-4</v>
      </c>
      <c r="AB140" s="2">
        <v>8.2500000000000596E-5</v>
      </c>
      <c r="AC140" s="2">
        <v>8.2500000000000596E-5</v>
      </c>
      <c r="AD140">
        <v>292.096226927244</v>
      </c>
      <c r="AE140">
        <v>292.10053433000002</v>
      </c>
      <c r="AF140">
        <v>-0.288935770639004</v>
      </c>
      <c r="AG140">
        <v>-0.289815178922533</v>
      </c>
      <c r="AH140" s="7">
        <v>0.68736634448286105</v>
      </c>
      <c r="AI140" s="7">
        <v>0.68844844487829604</v>
      </c>
    </row>
    <row r="141" spans="1:35" x14ac:dyDescent="0.25">
      <c r="A141">
        <v>3</v>
      </c>
      <c r="B141" s="1">
        <v>45569</v>
      </c>
      <c r="C141" s="1">
        <v>45574</v>
      </c>
      <c r="D141" s="3">
        <f t="shared" si="2"/>
        <v>-5</v>
      </c>
      <c r="E141" t="s">
        <v>36</v>
      </c>
      <c r="F141" t="s">
        <v>34</v>
      </c>
      <c r="G141">
        <v>8.66</v>
      </c>
      <c r="H141">
        <v>30</v>
      </c>
      <c r="I141" t="s">
        <v>35</v>
      </c>
      <c r="J141">
        <v>3</v>
      </c>
      <c r="K141">
        <v>10.270195000000001</v>
      </c>
      <c r="L141">
        <v>1.0449371069182299E-2</v>
      </c>
      <c r="M141">
        <v>1.9212566037735801E-2</v>
      </c>
      <c r="N141">
        <v>1.3421999999999899E-2</v>
      </c>
      <c r="O141">
        <v>7.0628238993710596E-3</v>
      </c>
      <c r="P141">
        <v>2.8631415094339599E-3</v>
      </c>
      <c r="Q141">
        <v>1.88628616352201E-3</v>
      </c>
      <c r="R141">
        <v>1.04575E-2</v>
      </c>
      <c r="S141">
        <v>1.9119999999999901E-2</v>
      </c>
      <c r="T141">
        <v>1.33999999999999E-2</v>
      </c>
      <c r="U141">
        <v>6.9924999999999796E-3</v>
      </c>
      <c r="V141">
        <v>2.7850000000000001E-3</v>
      </c>
      <c r="W141">
        <v>1.8775E-3</v>
      </c>
      <c r="X141" s="2">
        <v>2.5237483146217399E-4</v>
      </c>
      <c r="Y141" s="2">
        <v>1.3156641753199699E-4</v>
      </c>
      <c r="Z141" s="2">
        <v>1.9358819408445599E-4</v>
      </c>
      <c r="AA141" s="2">
        <v>2.0208290377961901E-4</v>
      </c>
      <c r="AB141" s="2">
        <v>1.2366509432963499E-4</v>
      </c>
      <c r="AC141" s="2">
        <v>8.5008169542039096E-5</v>
      </c>
      <c r="AD141">
        <v>292.08586693977298</v>
      </c>
      <c r="AE141">
        <v>292.08857125999998</v>
      </c>
      <c r="AF141">
        <v>-0.31065969937701399</v>
      </c>
      <c r="AG141">
        <v>-0.31971300012161002</v>
      </c>
      <c r="AH141" s="7">
        <v>0.74097141253065302</v>
      </c>
      <c r="AI141" s="7">
        <v>0.74508009153318</v>
      </c>
    </row>
    <row r="142" spans="1:35" x14ac:dyDescent="0.25">
      <c r="A142">
        <v>4</v>
      </c>
      <c r="B142" s="1">
        <v>45569</v>
      </c>
      <c r="C142" s="1">
        <v>45574</v>
      </c>
      <c r="D142" s="3">
        <f t="shared" si="2"/>
        <v>-5</v>
      </c>
      <c r="E142" t="s">
        <v>36</v>
      </c>
      <c r="F142" t="s">
        <v>34</v>
      </c>
      <c r="G142">
        <v>8.66</v>
      </c>
      <c r="H142">
        <v>30</v>
      </c>
      <c r="I142" t="s">
        <v>35</v>
      </c>
      <c r="J142">
        <v>3</v>
      </c>
      <c r="K142">
        <v>8.7272920000000003</v>
      </c>
      <c r="L142">
        <v>1.20755087939698E-2</v>
      </c>
      <c r="M142">
        <v>1.99165326633165E-2</v>
      </c>
      <c r="N142">
        <v>1.43682694723618E-2</v>
      </c>
      <c r="O142">
        <v>7.5911777638190897E-3</v>
      </c>
      <c r="P142">
        <v>2.8715075376884399E-3</v>
      </c>
      <c r="Q142">
        <v>1.8231218592964799E-3</v>
      </c>
      <c r="R142">
        <v>1.1997499999999901E-2</v>
      </c>
      <c r="S142">
        <v>1.9834999999999901E-2</v>
      </c>
      <c r="T142">
        <v>1.44175E-2</v>
      </c>
      <c r="U142">
        <v>7.5975000000000001E-3</v>
      </c>
      <c r="V142">
        <v>2.8537499999999999E-3</v>
      </c>
      <c r="W142">
        <v>1.7675E-3</v>
      </c>
      <c r="X142" s="2">
        <v>1.7822036920623599E-4</v>
      </c>
      <c r="Y142" s="2">
        <v>5.6507128360643301E-5</v>
      </c>
      <c r="Z142" s="2">
        <v>2.2453655974914599E-5</v>
      </c>
      <c r="AA142" s="2">
        <v>1.1226827987755E-4</v>
      </c>
      <c r="AB142" s="2">
        <v>5.6507128360553401E-5</v>
      </c>
      <c r="AC142" s="2">
        <v>9.0745370252268799E-5</v>
      </c>
      <c r="AD142">
        <v>291.96897061796398</v>
      </c>
      <c r="AE142">
        <v>291.968940559999</v>
      </c>
      <c r="AF142">
        <v>-0.308650488279271</v>
      </c>
      <c r="AG142">
        <v>-0.31064988091187301</v>
      </c>
      <c r="AH142" s="7">
        <v>0.74797796037981501</v>
      </c>
      <c r="AI142" s="7">
        <v>0.74722685221306195</v>
      </c>
    </row>
    <row r="143" spans="1:35" x14ac:dyDescent="0.25">
      <c r="A143">
        <v>5</v>
      </c>
      <c r="B143" s="1">
        <v>45569</v>
      </c>
      <c r="C143" s="1">
        <v>45574</v>
      </c>
      <c r="D143" s="3">
        <f t="shared" si="2"/>
        <v>-5</v>
      </c>
      <c r="E143" t="s">
        <v>36</v>
      </c>
      <c r="F143" t="s">
        <v>34</v>
      </c>
      <c r="G143">
        <v>8.66</v>
      </c>
      <c r="H143">
        <v>30</v>
      </c>
      <c r="I143" t="s">
        <v>35</v>
      </c>
      <c r="J143">
        <v>3</v>
      </c>
      <c r="K143">
        <v>13.204736000000002</v>
      </c>
      <c r="L143">
        <v>1.3057816455696101E-2</v>
      </c>
      <c r="M143">
        <v>3.1616452531645502E-2</v>
      </c>
      <c r="N143">
        <v>2.00232183544303E-2</v>
      </c>
      <c r="O143">
        <v>8.8802183544303796E-3</v>
      </c>
      <c r="P143">
        <v>3.4120696202531598E-3</v>
      </c>
      <c r="Q143">
        <v>2.0873354430379601E-3</v>
      </c>
      <c r="R143">
        <v>1.32074999999999E-2</v>
      </c>
      <c r="S143">
        <v>3.1797499999999999E-2</v>
      </c>
      <c r="T143">
        <v>2.0164999999999898E-2</v>
      </c>
      <c r="U143">
        <v>8.8624999999999902E-3</v>
      </c>
      <c r="V143">
        <v>3.4450000000000001E-3</v>
      </c>
      <c r="W143">
        <v>2.2074999999999998E-3</v>
      </c>
      <c r="X143" s="2">
        <v>1.18813579470841E-4</v>
      </c>
      <c r="Y143" s="2">
        <v>1.23665094329695E-4</v>
      </c>
      <c r="Z143" s="2">
        <v>8.0957807941638306E-5</v>
      </c>
      <c r="AA143" s="2">
        <v>1.3156641753203199E-4</v>
      </c>
      <c r="AB143" s="2">
        <v>1.8696404883172899E-4</v>
      </c>
      <c r="AC143" s="2">
        <v>8.9814623902050795E-5</v>
      </c>
      <c r="AD143">
        <v>291.02271147898699</v>
      </c>
      <c r="AE143">
        <v>291.028985059999</v>
      </c>
      <c r="AF143">
        <v>-0.38553531434515398</v>
      </c>
      <c r="AG143">
        <v>-0.38294168842471699</v>
      </c>
      <c r="AH143" s="7">
        <v>0.80528959201894401</v>
      </c>
      <c r="AI143" s="7">
        <v>0.80449741079662296</v>
      </c>
    </row>
    <row r="144" spans="1:35" x14ac:dyDescent="0.25">
      <c r="A144">
        <v>6</v>
      </c>
      <c r="B144" s="1">
        <v>45569</v>
      </c>
      <c r="C144" s="1">
        <v>45574</v>
      </c>
      <c r="D144" s="3">
        <f t="shared" si="2"/>
        <v>-5</v>
      </c>
      <c r="E144" t="s">
        <v>36</v>
      </c>
      <c r="F144" t="s">
        <v>34</v>
      </c>
      <c r="G144">
        <v>8.66</v>
      </c>
      <c r="H144">
        <v>30</v>
      </c>
      <c r="I144" t="s">
        <v>35</v>
      </c>
      <c r="J144">
        <v>3</v>
      </c>
      <c r="K144">
        <v>15.231687000000001</v>
      </c>
      <c r="L144">
        <v>9.2744409148665698E-3</v>
      </c>
      <c r="M144">
        <v>1.7304580686149901E-2</v>
      </c>
      <c r="N144">
        <v>1.2598761118170199E-2</v>
      </c>
      <c r="O144">
        <v>6.8964421855146002E-3</v>
      </c>
      <c r="P144">
        <v>2.7264008894536101E-3</v>
      </c>
      <c r="Q144">
        <v>1.83658195679796E-3</v>
      </c>
      <c r="R144">
        <v>9.2474999999999901E-3</v>
      </c>
      <c r="S144">
        <v>1.7194999999999901E-2</v>
      </c>
      <c r="T144">
        <v>1.26574999999999E-2</v>
      </c>
      <c r="U144">
        <v>6.7174999999999804E-3</v>
      </c>
      <c r="V144">
        <v>2.6749999999999799E-3</v>
      </c>
      <c r="W144">
        <v>1.79499999999999E-3</v>
      </c>
      <c r="X144" s="2">
        <v>5.1854497287026697E-5</v>
      </c>
      <c r="Y144" s="2">
        <v>1.96175233457734E-4</v>
      </c>
      <c r="Z144" s="2">
        <v>3.1193615799818898E-4</v>
      </c>
      <c r="AA144" s="2">
        <v>1.6243374717778801E-4</v>
      </c>
      <c r="AB144" s="2">
        <v>1.29636243217566E-5</v>
      </c>
      <c r="AC144" s="2">
        <v>1.57709296562445E-4</v>
      </c>
      <c r="AD144">
        <v>291.89385269750898</v>
      </c>
      <c r="AE144">
        <v>291.910834219999</v>
      </c>
      <c r="AF144">
        <v>-0.292439465989839</v>
      </c>
      <c r="AG144">
        <v>-0.29252238020010501</v>
      </c>
      <c r="AH144" s="7">
        <v>0.72800822742734606</v>
      </c>
      <c r="AI144" s="7">
        <v>0.73128647551382897</v>
      </c>
    </row>
    <row r="145" spans="1:35" x14ac:dyDescent="0.25">
      <c r="A145">
        <v>7</v>
      </c>
      <c r="B145" s="1">
        <v>45569</v>
      </c>
      <c r="C145" s="1">
        <v>45574</v>
      </c>
      <c r="D145" s="3">
        <f t="shared" si="2"/>
        <v>-5</v>
      </c>
      <c r="E145" t="s">
        <v>36</v>
      </c>
      <c r="F145" t="s">
        <v>34</v>
      </c>
      <c r="G145">
        <v>8.66</v>
      </c>
      <c r="H145">
        <v>30</v>
      </c>
      <c r="I145" t="s">
        <v>35</v>
      </c>
      <c r="J145">
        <v>3</v>
      </c>
      <c r="K145">
        <v>22.250383000000003</v>
      </c>
      <c r="L145">
        <v>1.2583322824716201E-2</v>
      </c>
      <c r="M145">
        <v>2.4938798865069299E-2</v>
      </c>
      <c r="N145">
        <v>1.6520504413619099E-2</v>
      </c>
      <c r="O145">
        <v>8.0374306431273499E-3</v>
      </c>
      <c r="P145">
        <v>3.0438051702395899E-3</v>
      </c>
      <c r="Q145">
        <v>1.90936948297603E-3</v>
      </c>
      <c r="R145">
        <v>1.2409999999999999E-2</v>
      </c>
      <c r="S145">
        <v>2.5087499999999902E-2</v>
      </c>
      <c r="T145">
        <v>1.6452499999999998E-2</v>
      </c>
      <c r="U145">
        <v>7.9275000000000005E-3</v>
      </c>
      <c r="V145">
        <v>3.0599999999999998E-3</v>
      </c>
      <c r="W145">
        <v>1.8775E-3</v>
      </c>
      <c r="X145" s="2">
        <v>2.6313283506416703E-4</v>
      </c>
      <c r="Y145" s="2">
        <v>3.52886903506844E-4</v>
      </c>
      <c r="Z145" s="2">
        <v>1.02895578136353E-4</v>
      </c>
      <c r="AA145" s="2">
        <v>9.7873217310312096E-5</v>
      </c>
      <c r="AB145" s="2">
        <v>1.0124914265754199E-4</v>
      </c>
      <c r="AC145" s="2">
        <v>1.1226827987756E-4</v>
      </c>
      <c r="AD145">
        <v>291.66421955124798</v>
      </c>
      <c r="AE145">
        <v>291.65790074</v>
      </c>
      <c r="AF145">
        <v>-0.34544340343276397</v>
      </c>
      <c r="AG145">
        <v>-0.351195975772508</v>
      </c>
      <c r="AH145" s="7">
        <v>0.78238730906458998</v>
      </c>
      <c r="AI145" s="7">
        <v>0.78342033088560503</v>
      </c>
    </row>
    <row r="146" spans="1:35" x14ac:dyDescent="0.25">
      <c r="A146">
        <v>8</v>
      </c>
      <c r="B146" s="1">
        <v>45569</v>
      </c>
      <c r="C146" s="1">
        <v>45574</v>
      </c>
      <c r="D146" s="3">
        <f t="shared" si="2"/>
        <v>-5</v>
      </c>
      <c r="E146" t="s">
        <v>36</v>
      </c>
      <c r="F146" t="s">
        <v>34</v>
      </c>
      <c r="G146">
        <v>8.66</v>
      </c>
      <c r="H146">
        <v>30</v>
      </c>
      <c r="I146" t="s">
        <v>35</v>
      </c>
      <c r="J146">
        <v>3</v>
      </c>
      <c r="K146">
        <v>29.662368000000004</v>
      </c>
      <c r="L146">
        <v>1.5278958333333301E-2</v>
      </c>
      <c r="M146">
        <v>2.77892708333333E-2</v>
      </c>
      <c r="N146">
        <v>1.8459166666666599E-2</v>
      </c>
      <c r="O146">
        <v>9.7556944444444297E-3</v>
      </c>
      <c r="P146">
        <v>3.9402083333333199E-3</v>
      </c>
      <c r="Q146">
        <v>2.4767013888888699E-3</v>
      </c>
      <c r="R146">
        <v>1.5214999999999999E-2</v>
      </c>
      <c r="S146">
        <v>2.7782499999999901E-2</v>
      </c>
      <c r="T146">
        <v>1.84874999999999E-2</v>
      </c>
      <c r="U146">
        <v>9.7424999999999803E-3</v>
      </c>
      <c r="V146">
        <v>3.9124999999999802E-3</v>
      </c>
      <c r="W146">
        <v>2.5099999999999801E-3</v>
      </c>
      <c r="X146" s="2">
        <v>1.3658025723598899E-4</v>
      </c>
      <c r="Y146" s="2">
        <v>8.5008169542118798E-5</v>
      </c>
      <c r="Z146" s="2">
        <v>8.5008169542543995E-5</v>
      </c>
      <c r="AA146" s="2">
        <v>3.8890872965153902E-5</v>
      </c>
      <c r="AB146" s="2">
        <v>2.2453655975467901E-5</v>
      </c>
      <c r="AC146" s="2">
        <v>1.23665094329626E-4</v>
      </c>
      <c r="AD146">
        <v>291.45038549545399</v>
      </c>
      <c r="AE146">
        <v>291.47332766</v>
      </c>
      <c r="AF146">
        <v>-0.30849360092224698</v>
      </c>
      <c r="AG146">
        <v>-0.30977683315621701</v>
      </c>
      <c r="AH146" s="7">
        <v>0.75161988492663301</v>
      </c>
      <c r="AI146" s="7">
        <v>0.75311563338066001</v>
      </c>
    </row>
    <row r="147" spans="1:35" x14ac:dyDescent="0.25">
      <c r="A147">
        <v>9</v>
      </c>
      <c r="B147" s="1">
        <v>45569</v>
      </c>
      <c r="C147" s="1">
        <v>45574</v>
      </c>
      <c r="D147" s="3">
        <f t="shared" si="2"/>
        <v>-5</v>
      </c>
      <c r="E147" t="s">
        <v>36</v>
      </c>
      <c r="F147" t="s">
        <v>34</v>
      </c>
      <c r="G147">
        <v>8.66</v>
      </c>
      <c r="H147">
        <v>30</v>
      </c>
      <c r="I147" t="s">
        <v>35</v>
      </c>
      <c r="J147">
        <v>2</v>
      </c>
      <c r="K147">
        <v>13.930808000000003</v>
      </c>
      <c r="L147">
        <v>1.4304428934010099E-2</v>
      </c>
      <c r="M147">
        <v>2.9348708756345099E-2</v>
      </c>
      <c r="N147">
        <v>1.9047864847715701E-2</v>
      </c>
      <c r="O147">
        <v>8.4497906091370398E-3</v>
      </c>
      <c r="P147">
        <v>2.83211294416243E-3</v>
      </c>
      <c r="Q147">
        <v>1.6863610406091399E-3</v>
      </c>
      <c r="R147">
        <v>1.42525E-2</v>
      </c>
      <c r="S147">
        <v>2.9294999999999901E-2</v>
      </c>
      <c r="T147">
        <v>1.9064999999999999E-2</v>
      </c>
      <c r="U147">
        <v>8.2849999999999799E-3</v>
      </c>
      <c r="V147">
        <v>2.8674999999999898E-3</v>
      </c>
      <c r="W147">
        <v>1.6849999999999901E-3</v>
      </c>
      <c r="X147" s="2">
        <v>2.4749999999998103E-4</v>
      </c>
      <c r="Y147" s="2">
        <v>1.10000000000521E-4</v>
      </c>
      <c r="Z147" s="2">
        <v>9.62499999999014E-5</v>
      </c>
      <c r="AA147" s="2">
        <v>8.2500000000021101E-5</v>
      </c>
      <c r="AB147">
        <v>0</v>
      </c>
      <c r="AC147" s="2">
        <v>2.74999999999993E-5</v>
      </c>
      <c r="AD147">
        <v>291.44164157357801</v>
      </c>
      <c r="AE147">
        <v>291.44256547999998</v>
      </c>
      <c r="AF147">
        <v>-0.385625535279984</v>
      </c>
      <c r="AG147">
        <v>-0.38985547270551402</v>
      </c>
      <c r="AH147" s="7">
        <v>0.82399785953650995</v>
      </c>
      <c r="AI147" s="7">
        <v>0.82045863661266305</v>
      </c>
    </row>
    <row r="148" spans="1:35" x14ac:dyDescent="0.25">
      <c r="A148">
        <v>10</v>
      </c>
      <c r="B148" s="1">
        <v>45569</v>
      </c>
      <c r="C148" s="1">
        <v>45574</v>
      </c>
      <c r="D148" s="3">
        <f t="shared" si="2"/>
        <v>-5</v>
      </c>
      <c r="E148" t="s">
        <v>36</v>
      </c>
      <c r="F148" t="s">
        <v>34</v>
      </c>
      <c r="G148">
        <v>8.66</v>
      </c>
      <c r="H148">
        <v>30</v>
      </c>
      <c r="I148" t="s">
        <v>35</v>
      </c>
      <c r="J148">
        <v>3</v>
      </c>
      <c r="K148">
        <v>19.860396000000001</v>
      </c>
      <c r="L148">
        <v>9.7970404884318799E-3</v>
      </c>
      <c r="M148">
        <v>3.0371883033418999E-2</v>
      </c>
      <c r="N148">
        <v>2.0015835475578399E-2</v>
      </c>
      <c r="O148">
        <v>9.0536214652956193E-3</v>
      </c>
      <c r="P148">
        <v>4.0598971722364896E-3</v>
      </c>
      <c r="Q148">
        <v>2.82819408740359E-3</v>
      </c>
      <c r="R148">
        <v>8.9999999999999993E-3</v>
      </c>
      <c r="S148">
        <v>2.9982499999999902E-2</v>
      </c>
      <c r="T148">
        <v>1.9477499999999998E-2</v>
      </c>
      <c r="U148">
        <v>9.0274999999999904E-3</v>
      </c>
      <c r="V148">
        <v>4.0224999999999801E-3</v>
      </c>
      <c r="W148">
        <v>2.8124999999999899E-3</v>
      </c>
      <c r="X148">
        <v>1.0922574737161901E-3</v>
      </c>
      <c r="Y148" s="2">
        <v>6.0929034312234896E-4</v>
      </c>
      <c r="Z148" s="2">
        <v>8.5097085078684597E-4</v>
      </c>
      <c r="AA148" s="2">
        <v>4.7330545692560199E-4</v>
      </c>
      <c r="AB148" s="2">
        <v>3.1139694211015901E-4</v>
      </c>
      <c r="AC148" s="2">
        <v>1.02895578136293E-4</v>
      </c>
      <c r="AD148">
        <v>291.79387906521799</v>
      </c>
      <c r="AE148">
        <v>291.79462153999998</v>
      </c>
      <c r="AF148">
        <v>-0.377139601041733</v>
      </c>
      <c r="AG148">
        <v>-0.381260526549065</v>
      </c>
      <c r="AH148" s="7">
        <v>0.76435579070720505</v>
      </c>
      <c r="AI148" s="7">
        <v>0.76341714453756804</v>
      </c>
    </row>
    <row r="149" spans="1:35" x14ac:dyDescent="0.25">
      <c r="A149">
        <v>11</v>
      </c>
      <c r="B149" s="1">
        <v>45569</v>
      </c>
      <c r="C149" s="1">
        <v>45574</v>
      </c>
      <c r="D149" s="3">
        <f t="shared" si="2"/>
        <v>-5</v>
      </c>
      <c r="E149" t="s">
        <v>36</v>
      </c>
      <c r="F149" t="s">
        <v>34</v>
      </c>
      <c r="G149">
        <v>8.66</v>
      </c>
      <c r="H149">
        <v>30</v>
      </c>
      <c r="I149" t="s">
        <v>35</v>
      </c>
      <c r="J149">
        <v>2</v>
      </c>
      <c r="K149">
        <v>26.75808</v>
      </c>
      <c r="L149">
        <v>9.8727040816326498E-3</v>
      </c>
      <c r="M149">
        <v>3.3753998724489698E-2</v>
      </c>
      <c r="N149">
        <v>2.1686304209183601E-2</v>
      </c>
      <c r="O149">
        <v>8.7886639030612199E-3</v>
      </c>
      <c r="P149">
        <v>4.5342315051020302E-3</v>
      </c>
      <c r="Q149">
        <v>3.5816581632652999E-3</v>
      </c>
      <c r="R149">
        <v>1.04025E-2</v>
      </c>
      <c r="S149">
        <v>3.4052499999999902E-2</v>
      </c>
      <c r="T149">
        <v>2.1787499999999901E-2</v>
      </c>
      <c r="U149">
        <v>9.3574999999999908E-3</v>
      </c>
      <c r="V149">
        <v>4.54499999999999E-3</v>
      </c>
      <c r="W149">
        <v>3.5824999999999798E-3</v>
      </c>
      <c r="X149" s="2">
        <v>7.8374999999999495E-4</v>
      </c>
      <c r="Y149" s="2">
        <v>7.5624999999996301E-4</v>
      </c>
      <c r="Z149" s="2">
        <v>8.2500000000001398E-4</v>
      </c>
      <c r="AA149" s="2">
        <v>7.1499999999999298E-4</v>
      </c>
      <c r="AB149" s="2">
        <v>3.85000000000006E-4</v>
      </c>
      <c r="AC149" s="2">
        <v>1.78749999999988E-4</v>
      </c>
      <c r="AD149">
        <v>291.02020022543297</v>
      </c>
      <c r="AE149">
        <v>290.97087871999997</v>
      </c>
      <c r="AF149">
        <v>-0.42449951374938499</v>
      </c>
      <c r="AG149">
        <v>-0.40901555222231001</v>
      </c>
      <c r="AH149" s="7">
        <v>0.76351840400225401</v>
      </c>
      <c r="AI149" s="7">
        <v>0.77070063694267499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Tappan_L89_Bands_Thermal_NDCI_M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Basnet</cp:lastModifiedBy>
  <dcterms:created xsi:type="dcterms:W3CDTF">2026-05-07T18:48:54Z</dcterms:created>
  <dcterms:modified xsi:type="dcterms:W3CDTF">2026-05-07T23:40:15Z</dcterms:modified>
</cp:coreProperties>
</file>